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c906d4d40cdd43f5/2. Personal Files/Software/Diablo/Diablo Orcl V1/"/>
    </mc:Choice>
  </mc:AlternateContent>
  <xr:revisionPtr revIDLastSave="0" documentId="8_{4A232D25-889B-4749-8A72-AF96C592A067}" xr6:coauthVersionLast="47" xr6:coauthVersionMax="47" xr10:uidLastSave="{00000000-0000-0000-0000-000000000000}"/>
  <bookViews>
    <workbookView xWindow="1950" yWindow="1950" windowWidth="21600" windowHeight="11295" xr2:uid="{F1E66D13-9457-4084-87A2-03CD9CCEBC9D}"/>
  </bookViews>
  <sheets>
    <sheet name="Skills and Auras" sheetId="1" r:id="rId1"/>
    <sheet name="Spells" sheetId="2" r:id="rId2"/>
    <sheet name="Full inventory" sheetId="3" r:id="rId3"/>
    <sheet name="How to read this" sheetId="4" r:id="rId4"/>
  </sheets>
  <definedNames>
    <definedName name="_xlnm._FilterDatabase" localSheetId="2" hidden="1">'Full inventory'!$A$4:$J$277</definedName>
    <definedName name="_xlnm._FilterDatabase" localSheetId="0" hidden="1">'Skills and Auras'!$A$4:$S$70</definedName>
    <definedName name="_xlnm._FilterDatabase" localSheetId="1" hidden="1">Spells!$A$4:$L$63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5" i="1" l="1"/>
  <c r="L5" i="1"/>
  <c r="M5" i="1"/>
  <c r="N5" i="1"/>
  <c r="O5" i="1"/>
  <c r="P5" i="1"/>
  <c r="Q5" i="1"/>
  <c r="K6" i="1"/>
  <c r="L6" i="1"/>
  <c r="M6" i="1"/>
  <c r="N6" i="1"/>
  <c r="O6" i="1"/>
  <c r="P6" i="1"/>
  <c r="Q6" i="1"/>
  <c r="K7" i="1"/>
  <c r="L7" i="1"/>
  <c r="M7" i="1"/>
  <c r="N7" i="1"/>
  <c r="O7" i="1"/>
  <c r="P7" i="1"/>
  <c r="Q7" i="1"/>
  <c r="K9" i="1"/>
  <c r="L9" i="1"/>
  <c r="M9" i="1"/>
  <c r="N9" i="1"/>
  <c r="O9" i="1"/>
  <c r="P9" i="1"/>
  <c r="Q9" i="1"/>
  <c r="K10" i="1"/>
  <c r="L10" i="1"/>
  <c r="M10" i="1"/>
  <c r="N10" i="1"/>
  <c r="O10" i="1"/>
  <c r="P10" i="1"/>
  <c r="Q10" i="1"/>
  <c r="K12" i="1"/>
  <c r="L12" i="1"/>
  <c r="M12" i="1"/>
  <c r="N12" i="1"/>
  <c r="O12" i="1"/>
  <c r="P12" i="1"/>
  <c r="Q12" i="1"/>
  <c r="K13" i="1"/>
  <c r="L13" i="1"/>
  <c r="M13" i="1"/>
  <c r="N13" i="1"/>
  <c r="O13" i="1"/>
  <c r="P13" i="1"/>
  <c r="Q13" i="1"/>
  <c r="K15" i="1"/>
  <c r="L15" i="1"/>
  <c r="M15" i="1"/>
  <c r="N15" i="1"/>
  <c r="O15" i="1"/>
  <c r="P15" i="1"/>
  <c r="Q15" i="1"/>
  <c r="K16" i="1"/>
  <c r="L16" i="1"/>
  <c r="M16" i="1"/>
  <c r="N16" i="1"/>
  <c r="O16" i="1"/>
  <c r="P16" i="1"/>
  <c r="Q16" i="1"/>
  <c r="K19" i="1"/>
  <c r="L19" i="1"/>
  <c r="M19" i="1"/>
  <c r="N19" i="1"/>
  <c r="O19" i="1"/>
  <c r="P19" i="1"/>
  <c r="Q19" i="1"/>
  <c r="K20" i="1"/>
  <c r="L20" i="1"/>
  <c r="M20" i="1"/>
  <c r="N20" i="1"/>
  <c r="O20" i="1"/>
  <c r="P20" i="1"/>
  <c r="Q20" i="1"/>
  <c r="K21" i="1"/>
  <c r="L21" i="1"/>
  <c r="M21" i="1"/>
  <c r="N21" i="1"/>
  <c r="O21" i="1"/>
  <c r="P21" i="1"/>
  <c r="Q21" i="1"/>
  <c r="K22" i="1"/>
  <c r="L22" i="1"/>
  <c r="M22" i="1"/>
  <c r="N22" i="1"/>
  <c r="O22" i="1"/>
  <c r="P22" i="1"/>
  <c r="Q22" i="1"/>
  <c r="K23" i="1"/>
  <c r="L23" i="1"/>
  <c r="M23" i="1"/>
  <c r="N23" i="1"/>
  <c r="O23" i="1"/>
  <c r="P23" i="1"/>
  <c r="Q23" i="1"/>
  <c r="K25" i="1"/>
  <c r="L25" i="1"/>
  <c r="M25" i="1"/>
  <c r="N25" i="1"/>
  <c r="O25" i="1"/>
  <c r="P25" i="1"/>
  <c r="Q25" i="1"/>
  <c r="K26" i="1"/>
  <c r="L26" i="1"/>
  <c r="M26" i="1"/>
  <c r="N26" i="1"/>
  <c r="O26" i="1"/>
  <c r="P26" i="1"/>
  <c r="Q26" i="1"/>
  <c r="K27" i="1"/>
  <c r="L27" i="1"/>
  <c r="M27" i="1"/>
  <c r="N27" i="1"/>
  <c r="O27" i="1"/>
  <c r="P27" i="1"/>
  <c r="Q27" i="1"/>
  <c r="K28" i="1"/>
  <c r="L28" i="1"/>
  <c r="M28" i="1"/>
  <c r="N28" i="1"/>
  <c r="O28" i="1"/>
  <c r="P28" i="1"/>
  <c r="Q28" i="1"/>
  <c r="K29" i="1"/>
  <c r="L29" i="1"/>
  <c r="M29" i="1"/>
  <c r="N29" i="1"/>
  <c r="O29" i="1"/>
  <c r="P29" i="1"/>
  <c r="Q29" i="1"/>
  <c r="K30" i="1"/>
  <c r="L30" i="1"/>
  <c r="M30" i="1"/>
  <c r="N30" i="1"/>
  <c r="O30" i="1"/>
  <c r="P30" i="1"/>
  <c r="Q30" i="1"/>
  <c r="K31" i="1"/>
  <c r="L31" i="1"/>
  <c r="M31" i="1"/>
  <c r="N31" i="1"/>
  <c r="O31" i="1"/>
  <c r="P31" i="1"/>
  <c r="Q31" i="1"/>
  <c r="K32" i="1"/>
  <c r="L32" i="1"/>
  <c r="M32" i="1"/>
  <c r="N32" i="1"/>
  <c r="O32" i="1"/>
  <c r="P32" i="1"/>
  <c r="Q32" i="1"/>
  <c r="K33" i="1"/>
  <c r="L33" i="1"/>
  <c r="M33" i="1"/>
  <c r="N33" i="1"/>
  <c r="O33" i="1"/>
  <c r="P33" i="1"/>
  <c r="Q33" i="1"/>
  <c r="K34" i="1"/>
  <c r="L34" i="1"/>
  <c r="M34" i="1"/>
  <c r="N34" i="1"/>
  <c r="O34" i="1"/>
  <c r="P34" i="1"/>
  <c r="Q34" i="1"/>
  <c r="K35" i="1"/>
  <c r="L35" i="1"/>
  <c r="M35" i="1"/>
  <c r="N35" i="1"/>
  <c r="O35" i="1"/>
  <c r="P35" i="1"/>
  <c r="Q35" i="1"/>
  <c r="K36" i="1"/>
  <c r="L36" i="1"/>
  <c r="M36" i="1"/>
  <c r="N36" i="1"/>
  <c r="O36" i="1"/>
  <c r="P36" i="1"/>
  <c r="Q36" i="1"/>
  <c r="K37" i="1"/>
  <c r="L37" i="1"/>
  <c r="M37" i="1"/>
  <c r="N37" i="1"/>
  <c r="O37" i="1"/>
  <c r="P37" i="1"/>
  <c r="Q37" i="1"/>
  <c r="K39" i="1"/>
  <c r="L39" i="1"/>
  <c r="M39" i="1"/>
  <c r="N39" i="1"/>
  <c r="O39" i="1"/>
  <c r="P39" i="1"/>
  <c r="Q39" i="1"/>
  <c r="K40" i="1"/>
  <c r="L40" i="1"/>
  <c r="M40" i="1"/>
  <c r="N40" i="1"/>
  <c r="O40" i="1"/>
  <c r="P40" i="1"/>
  <c r="Q40" i="1"/>
  <c r="K41" i="1"/>
  <c r="L41" i="1"/>
  <c r="M41" i="1"/>
  <c r="N41" i="1"/>
  <c r="O41" i="1"/>
  <c r="P41" i="1"/>
  <c r="Q41" i="1"/>
  <c r="K42" i="1"/>
  <c r="L42" i="1"/>
  <c r="M42" i="1"/>
  <c r="N42" i="1"/>
  <c r="O42" i="1"/>
  <c r="P42" i="1"/>
  <c r="Q42" i="1"/>
  <c r="K43" i="1"/>
  <c r="L43" i="1"/>
  <c r="M43" i="1"/>
  <c r="N43" i="1"/>
  <c r="O43" i="1"/>
  <c r="P43" i="1"/>
  <c r="Q43" i="1"/>
  <c r="K44" i="1"/>
  <c r="L44" i="1"/>
  <c r="M44" i="1"/>
  <c r="N44" i="1"/>
  <c r="O44" i="1"/>
  <c r="P44" i="1"/>
  <c r="Q44" i="1"/>
  <c r="K45" i="1"/>
  <c r="L45" i="1"/>
  <c r="M45" i="1"/>
  <c r="N45" i="1"/>
  <c r="O45" i="1"/>
  <c r="P45" i="1"/>
  <c r="Q45" i="1"/>
  <c r="K46" i="1"/>
  <c r="L46" i="1"/>
  <c r="M46" i="1"/>
  <c r="N46" i="1"/>
  <c r="O46" i="1"/>
  <c r="P46" i="1"/>
  <c r="Q46" i="1"/>
  <c r="K47" i="1"/>
  <c r="L47" i="1"/>
  <c r="M47" i="1"/>
  <c r="N47" i="1"/>
  <c r="O47" i="1"/>
  <c r="P47" i="1"/>
  <c r="Q47" i="1"/>
  <c r="K48" i="1"/>
  <c r="L48" i="1"/>
  <c r="M48" i="1"/>
  <c r="N48" i="1"/>
  <c r="O48" i="1"/>
  <c r="P48" i="1"/>
  <c r="Q48" i="1"/>
  <c r="K49" i="1"/>
  <c r="L49" i="1"/>
  <c r="M49" i="1"/>
  <c r="N49" i="1"/>
  <c r="O49" i="1"/>
  <c r="P49" i="1"/>
  <c r="Q49" i="1"/>
  <c r="K50" i="1"/>
  <c r="L50" i="1"/>
  <c r="M50" i="1"/>
  <c r="N50" i="1"/>
  <c r="O50" i="1"/>
  <c r="P50" i="1"/>
  <c r="Q50" i="1"/>
  <c r="K51" i="1"/>
  <c r="L51" i="1"/>
  <c r="M51" i="1"/>
  <c r="N51" i="1"/>
  <c r="O51" i="1"/>
  <c r="P51" i="1"/>
  <c r="Q51" i="1"/>
  <c r="K52" i="1"/>
  <c r="L52" i="1"/>
  <c r="M52" i="1"/>
  <c r="N52" i="1"/>
  <c r="O52" i="1"/>
  <c r="P52" i="1"/>
  <c r="Q52" i="1"/>
  <c r="K53" i="1"/>
  <c r="L53" i="1"/>
  <c r="M53" i="1"/>
  <c r="N53" i="1"/>
  <c r="O53" i="1"/>
  <c r="P53" i="1"/>
  <c r="Q53" i="1"/>
  <c r="K54" i="1"/>
  <c r="L54" i="1"/>
  <c r="M54" i="1"/>
  <c r="N54" i="1"/>
  <c r="O54" i="1"/>
  <c r="P54" i="1"/>
  <c r="Q54" i="1"/>
  <c r="K55" i="1"/>
  <c r="L55" i="1"/>
  <c r="M55" i="1"/>
  <c r="N55" i="1"/>
  <c r="O55" i="1"/>
  <c r="P55" i="1"/>
  <c r="Q55" i="1"/>
  <c r="K57" i="1"/>
  <c r="L57" i="1"/>
  <c r="M57" i="1"/>
  <c r="N57" i="1"/>
  <c r="O57" i="1"/>
  <c r="P57" i="1"/>
  <c r="Q57" i="1"/>
  <c r="K58" i="1"/>
  <c r="L58" i="1"/>
  <c r="M58" i="1"/>
  <c r="N58" i="1"/>
  <c r="O58" i="1"/>
  <c r="P58" i="1"/>
  <c r="Q58" i="1"/>
  <c r="K59" i="1"/>
  <c r="L59" i="1"/>
  <c r="M59" i="1"/>
  <c r="N59" i="1"/>
  <c r="O59" i="1"/>
  <c r="P59" i="1"/>
  <c r="Q59" i="1"/>
  <c r="K60" i="1"/>
  <c r="L60" i="1"/>
  <c r="M60" i="1"/>
  <c r="N60" i="1"/>
  <c r="O60" i="1"/>
  <c r="P60" i="1"/>
  <c r="Q60" i="1"/>
  <c r="K61" i="1"/>
  <c r="L61" i="1"/>
  <c r="M61" i="1"/>
  <c r="N61" i="1"/>
  <c r="O61" i="1"/>
  <c r="P61" i="1"/>
  <c r="Q61" i="1"/>
  <c r="K62" i="1"/>
  <c r="L62" i="1"/>
  <c r="M62" i="1"/>
  <c r="N62" i="1"/>
  <c r="O62" i="1"/>
  <c r="P62" i="1"/>
  <c r="Q62" i="1"/>
  <c r="K63" i="1"/>
  <c r="L63" i="1"/>
  <c r="M63" i="1"/>
  <c r="N63" i="1"/>
  <c r="O63" i="1"/>
  <c r="P63" i="1"/>
  <c r="Q63" i="1"/>
  <c r="K64" i="1"/>
  <c r="Q64" i="1"/>
  <c r="K65" i="1"/>
  <c r="Q65" i="1"/>
  <c r="K67" i="1"/>
  <c r="L67" i="1"/>
  <c r="M67" i="1"/>
  <c r="N67" i="1"/>
  <c r="Q67" i="1"/>
  <c r="K69" i="1"/>
  <c r="L69" i="1"/>
  <c r="M69" i="1"/>
  <c r="N69" i="1"/>
  <c r="Q69" i="1"/>
</calcChain>
</file>

<file path=xl/sharedStrings.xml><?xml version="1.0" encoding="utf-8"?>
<sst xmlns="http://schemas.openxmlformats.org/spreadsheetml/2006/main" count="2536" uniqueCount="795">
  <si>
    <t>Diablo Orcl V1 v1.9.114 - class-tree skills and auras that are BUILT, one row per effect channel</t>
  </si>
  <si>
    <t>Rank columns are live formulas - base + per-rank x (rank - 1), the Scaled() shape from class_tree.cpp. Edit Base or Per extra rank and they recalculate.</t>
  </si>
  <si>
    <t>Skill</t>
  </si>
  <si>
    <t>Class</t>
  </si>
  <si>
    <t>Kind</t>
  </si>
  <si>
    <t>Tier</t>
  </si>
  <si>
    <t>Unlocks at level</t>
  </si>
  <si>
    <t>Max rank</t>
  </si>
  <si>
    <t>Reachable at level 99</t>
  </si>
  <si>
    <t>Effect channel</t>
  </si>
  <si>
    <t>Base (rank 1)</t>
  </si>
  <si>
    <t>Per extra rank</t>
  </si>
  <si>
    <t>Rank 1</t>
  </si>
  <si>
    <t>Rank 2</t>
  </si>
  <si>
    <t>Rank 3</t>
  </si>
  <si>
    <t>Rank 5</t>
  </si>
  <si>
    <t>Rank 10</t>
  </si>
  <si>
    <t>Rank 20</t>
  </si>
  <si>
    <t>At the reachable max</t>
  </si>
  <si>
    <t>Aura radius (tiles)</t>
  </si>
  <si>
    <t>Conditions and caveats</t>
  </si>
  <si>
    <t>Might</t>
  </si>
  <si>
    <t>Paladin</t>
  </si>
  <si>
    <t>Aura</t>
  </si>
  <si>
    <t>Damage bonus (%)</t>
  </si>
  <si>
    <t>4 at 1 pt, +1 every 2 pts, caps at 8 (at 9 pts)</t>
  </si>
  <si>
    <t>Holy Fire</t>
  </si>
  <si>
    <t>Fire damage, min</t>
  </si>
  <si>
    <t>Fire damage, max</t>
  </si>
  <si>
    <t>Thorns</t>
  </si>
  <si>
    <t>n/a</t>
  </si>
  <si>
    <t>-</t>
  </si>
  <si>
    <t>flag - on from the first point, does not scale</t>
  </si>
  <si>
    <t>Blessed Aim</t>
  </si>
  <si>
    <t>To-hit bonus</t>
  </si>
  <si>
    <t>Concentration</t>
  </si>
  <si>
    <t>Fastest hit recovery</t>
  </si>
  <si>
    <t>Holy Shock</t>
  </si>
  <si>
    <t>Lightning damage, min</t>
  </si>
  <si>
    <t>flat +1 at any rank</t>
  </si>
  <si>
    <t>Lightning damage, max</t>
  </si>
  <si>
    <t>Sanctuary</t>
  </si>
  <si>
    <t>Repels undead</t>
  </si>
  <si>
    <t>within the aura radius; non-unique undead only</t>
  </si>
  <si>
    <t>Fanaticism</t>
  </si>
  <si>
    <t>Fast attack</t>
  </si>
  <si>
    <t>Conviction</t>
  </si>
  <si>
    <t>Strips monster resistances</t>
  </si>
  <si>
    <t>breaks IMMUNITIES from 5 points (ConvictionBreaksImmunityAt)</t>
  </si>
  <si>
    <t>Prayer</t>
  </si>
  <si>
    <t>Life restored per tick</t>
  </si>
  <si>
    <t>ProcessClassTreeTick - only while below full life</t>
  </si>
  <si>
    <t>Resist Fire</t>
  </si>
  <si>
    <t>Fire resistance (%)</t>
  </si>
  <si>
    <t>Defiance</t>
  </si>
  <si>
    <t>Armour class</t>
  </si>
  <si>
    <t>Resist Cold</t>
  </si>
  <si>
    <t>Magic resistance (%)</t>
  </si>
  <si>
    <t>cold maps to magic - this engine has no cold channel</t>
  </si>
  <si>
    <t>Resist Lightning</t>
  </si>
  <si>
    <t>Lightning resistance (%)</t>
  </si>
  <si>
    <t>Vigor</t>
  </si>
  <si>
    <t>Run speed</t>
  </si>
  <si>
    <t>skips a walk frame - on from the first point, does not scale</t>
  </si>
  <si>
    <t>Meditation</t>
  </si>
  <si>
    <t>Mana restored per tick</t>
  </si>
  <si>
    <t>ProcessClassTreeTick - only while below full mana</t>
  </si>
  <si>
    <t>Salvation</t>
  </si>
  <si>
    <t>Sword Mastery</t>
  </si>
  <si>
    <t>Barbarian</t>
  </si>
  <si>
    <t>Passive</t>
  </si>
  <si>
    <t>only while a sword is held</t>
  </si>
  <si>
    <t>Axe Mastery</t>
  </si>
  <si>
    <t>only while an axe is held</t>
  </si>
  <si>
    <t>Mace Mastery</t>
  </si>
  <si>
    <t>only while a mace is held</t>
  </si>
  <si>
    <t>Pole Arm Mastery</t>
  </si>
  <si>
    <t>only while a staff is held</t>
  </si>
  <si>
    <t>Iron Skin</t>
  </si>
  <si>
    <t>Increased Speed</t>
  </si>
  <si>
    <t>Natural Resistance</t>
  </si>
  <si>
    <t>Lightning Mastery</t>
  </si>
  <si>
    <t>Sorcerer</t>
  </si>
  <si>
    <t>Warmth</t>
  </si>
  <si>
    <t>Enchant</t>
  </si>
  <si>
    <t>Fire Mastery</t>
  </si>
  <si>
    <t>Critical Strike</t>
  </si>
  <si>
    <t>Rogue</t>
  </si>
  <si>
    <t>flat, in place of D2's crit roll - no crit exists in this engine</t>
  </si>
  <si>
    <t>Penetrate</t>
  </si>
  <si>
    <t>Melody of Life</t>
  </si>
  <si>
    <t>Bard</t>
  </si>
  <si>
    <t>Battle Hymn</t>
  </si>
  <si>
    <t>Song of Swiftness</t>
  </si>
  <si>
    <t>flag, plus a skipped run frame - does not scale</t>
  </si>
  <si>
    <t>Song of Fortitude</t>
  </si>
  <si>
    <t>Inspiration</t>
  </si>
  <si>
    <t>Tale of Heroes</t>
  </si>
  <si>
    <t>Strength</t>
  </si>
  <si>
    <t>Dexterity</t>
  </si>
  <si>
    <t>Master of the Long Staff</t>
  </si>
  <si>
    <t>Monk</t>
  </si>
  <si>
    <t>one-rank row: flat, only while a staff is held</t>
  </si>
  <si>
    <t>Flowing Step</t>
  </si>
  <si>
    <t>skips a walk frame; the D2 evade half has no channel in this engine</t>
  </si>
  <si>
    <t>Iron Robe</t>
  </si>
  <si>
    <t>Damage taken reduction</t>
  </si>
  <si>
    <t>3 per rank, CAPPED AT 20; halved in light armour, off entirely in medium or heavy</t>
  </si>
  <si>
    <t>Perfect Vessel</t>
  </si>
  <si>
    <t>Life</t>
  </si>
  <si>
    <t>one-rank row: +10% of base max life, plus fast hit recovery</t>
  </si>
  <si>
    <t>Healing Mantra</t>
  </si>
  <si>
    <t>Enlightenment</t>
  </si>
  <si>
    <t>Mana</t>
  </si>
  <si>
    <t>one-rank row: +10% of base max mana, plus +10 to all three resistances</t>
  </si>
  <si>
    <t>Diablo Orcl V1 v1.9.114 - every spell in spelldat.cpp, and what a spell level actually changes</t>
  </si>
  <si>
    <t>Damage formulas are GetDamageAmtAtLevel (missiles.cpp) verbatim. 'does not scale with spell level' means extra levels cut the mana cost and nothing else.</t>
  </si>
  <si>
    <t>Spell</t>
  </si>
  <si>
    <t>Role</t>
  </si>
  <si>
    <t>Book level band</t>
  </si>
  <si>
    <t>Max spell level</t>
  </si>
  <si>
    <t>Magic required</t>
  </si>
  <si>
    <t>Mana at level 1</t>
  </si>
  <si>
    <t>Mana saved per level</t>
  </si>
  <si>
    <t>Mana floor</t>
  </si>
  <si>
    <t>Damage formula</t>
  </si>
  <si>
    <t>Damage per spell level</t>
  </si>
  <si>
    <t>Missiles</t>
  </si>
  <si>
    <t>Apocalypse</t>
  </si>
  <si>
    <t>book spell</t>
  </si>
  <si>
    <t>min = clvl;  max = 6*clvl</t>
  </si>
  <si>
    <t>does not scale with spell level</t>
  </si>
  <si>
    <t>Apocalypse / Null</t>
  </si>
  <si>
    <t>Berserk</t>
  </si>
  <si>
    <t>no damage</t>
  </si>
  <si>
    <t>Berserk / Null</t>
  </si>
  <si>
    <t>Blood Ritual</t>
  </si>
  <si>
    <t>Null / Null</t>
  </si>
  <si>
    <t>Blood Star</t>
  </si>
  <si>
    <t>min = max = mag/2 + 3*sl - mag/8</t>
  </si>
  <si>
    <t>+3 per level</t>
  </si>
  <si>
    <t>BloodStar / Null</t>
  </si>
  <si>
    <t>Bone Spirit</t>
  </si>
  <si>
    <t>one third of the target's current health</t>
  </si>
  <si>
    <t>BoneSpirit / Null</t>
  </si>
  <si>
    <t>Chain Lightning</t>
  </si>
  <si>
    <t>min = 4;  max = 4 + 2*clvl</t>
  </si>
  <si>
    <t>ChainLightning / Null</t>
  </si>
  <si>
    <t>Charged Bolt</t>
  </si>
  <si>
    <t>min = 1;  max = 1 + mag/4</t>
  </si>
  <si>
    <t>ChargedBolt / Null</t>
  </si>
  <si>
    <t>Doom Serpents</t>
  </si>
  <si>
    <t>Elemental</t>
  </si>
  <si>
    <t>min = Scale(2*clvl + 4, sl);  max = Scale(2*clvl + 40, sl)</t>
  </si>
  <si>
    <t>x1.125 compounding per level</t>
  </si>
  <si>
    <t>Elemental / Null</t>
  </si>
  <si>
    <t>Etherealize</t>
  </si>
  <si>
    <t>Etherealize / Null</t>
  </si>
  <si>
    <t>Fire Wall</t>
  </si>
  <si>
    <t>min = 2*clvl + 4;  max = min + 36</t>
  </si>
  <si>
    <t>FireWallControl / Null</t>
  </si>
  <si>
    <t>Fireball</t>
  </si>
  <si>
    <t>base = 2*clvl + 4;  min = Scale(base, sl);  max = Scale(base + 36, sl)</t>
  </si>
  <si>
    <t>Fireball / Null</t>
  </si>
  <si>
    <t>Firebolt</t>
  </si>
  <si>
    <t>min = mag/8 + sl + 1;  max = min + 9</t>
  </si>
  <si>
    <t>+1 min and +1 max per level</t>
  </si>
  <si>
    <t>Firebolt / Null</t>
  </si>
  <si>
    <t>Flame Wave</t>
  </si>
  <si>
    <t>min = 6*(clvl + 1);  max = min + 54</t>
  </si>
  <si>
    <t>FlameWaveControl / Null</t>
  </si>
  <si>
    <t>Flash</t>
  </si>
  <si>
    <t>min = Scale(clvl, sl) * 1.5;  max = min * 2</t>
  </si>
  <si>
    <t>FlashBottom / FlashTop</t>
  </si>
  <si>
    <t>Golem</t>
  </si>
  <si>
    <t>min = 11;  max = 17</t>
  </si>
  <si>
    <t>Golem / Null</t>
  </si>
  <si>
    <t>Guardian</t>
  </si>
  <si>
    <t>base = clvl/2 + 1;  min = Scale(base, sl);  max = Scale(base + 9, sl)</t>
  </si>
  <si>
    <t>Guardian / Null</t>
  </si>
  <si>
    <t>Heal Other</t>
  </si>
  <si>
    <t>min = clvl + sl + 1;  max = 4*clvl + 6*sl + 10</t>
  </si>
  <si>
    <t>+1 min and +6 max per level</t>
  </si>
  <si>
    <t>HealOther / Null</t>
  </si>
  <si>
    <t>Healing</t>
  </si>
  <si>
    <t>Healing / Null</t>
  </si>
  <si>
    <t>Holy Bolt</t>
  </si>
  <si>
    <t>min = clvl + 9;  max = min + 9</t>
  </si>
  <si>
    <t>HolyBolt / Null</t>
  </si>
  <si>
    <t>Immolation</t>
  </si>
  <si>
    <t>min = Scale((clvl+5)/2, sl) * 5;  max = Scale((clvl+30)/2, sl) * 5</t>
  </si>
  <si>
    <t>Immolation / Null</t>
  </si>
  <si>
    <t>Inferno</t>
  </si>
  <si>
    <t>min = 3;  max = (clvl + 4) * 1.5</t>
  </si>
  <si>
    <t>InfernoControl / Null</t>
  </si>
  <si>
    <t>Infravision</t>
  </si>
  <si>
    <t>Infravision / Null</t>
  </si>
  <si>
    <t>Invisibility</t>
  </si>
  <si>
    <t>Lightning</t>
  </si>
  <si>
    <t>min = 2;  max = 2 + clvl</t>
  </si>
  <si>
    <t>LightningControl / Null</t>
  </si>
  <si>
    <t>Lightning Wall</t>
  </si>
  <si>
    <t>LightningWallControl / Null</t>
  </si>
  <si>
    <t>all mana</t>
  </si>
  <si>
    <t>Mana / Null</t>
  </si>
  <si>
    <t>Mana Shield</t>
  </si>
  <si>
    <t>ManaShield / Null</t>
  </si>
  <si>
    <t>Nova</t>
  </si>
  <si>
    <t>Nova / Null</t>
  </si>
  <si>
    <t>Phasing</t>
  </si>
  <si>
    <t>Phasing / Null</t>
  </si>
  <si>
    <t>Reflect</t>
  </si>
  <si>
    <t>Reflect / Null</t>
  </si>
  <si>
    <t>Resurrect</t>
  </si>
  <si>
    <t>Resurrect / Null</t>
  </si>
  <si>
    <t>Ring of Fire</t>
  </si>
  <si>
    <t>RingOfFire / Null</t>
  </si>
  <si>
    <t>Rune of Fire</t>
  </si>
  <si>
    <t>RuneOfFire / Null</t>
  </si>
  <si>
    <t>Rune of Immolation</t>
  </si>
  <si>
    <t>RuneOfImmolation / Null</t>
  </si>
  <si>
    <t>Rune of Light</t>
  </si>
  <si>
    <t>RuneOfLight / Null</t>
  </si>
  <si>
    <t>Rune of Nova</t>
  </si>
  <si>
    <t>RuneOfNova / Null</t>
  </si>
  <si>
    <t>Rune of Stone</t>
  </si>
  <si>
    <t>RuneOfStone / Null</t>
  </si>
  <si>
    <t>Stone Curse</t>
  </si>
  <si>
    <t>StoneCurse / Null</t>
  </si>
  <si>
    <t>Telekinesis</t>
  </si>
  <si>
    <t>Telekinesis / Null</t>
  </si>
  <si>
    <t>Teleport</t>
  </si>
  <si>
    <t>Teleport / Null</t>
  </si>
  <si>
    <t>the Jester</t>
  </si>
  <si>
    <t>Jester / Null</t>
  </si>
  <si>
    <t>the Magi</t>
  </si>
  <si>
    <t>Magi / Null</t>
  </si>
  <si>
    <t>Warp</t>
  </si>
  <si>
    <t>Warp / Null</t>
  </si>
  <si>
    <t>Blessed Hammer</t>
  </si>
  <si>
    <t>class skill</t>
  </si>
  <si>
    <t>Blessed Shield</t>
  </si>
  <si>
    <t>Charge</t>
  </si>
  <si>
    <t>Fist of the Heavens</t>
  </si>
  <si>
    <t>Hammer of Faith</t>
  </si>
  <si>
    <t>Identify</t>
  </si>
  <si>
    <t>retired</t>
  </si>
  <si>
    <t>Identify / Null</t>
  </si>
  <si>
    <t>Item Repair</t>
  </si>
  <si>
    <t>ItemRepair / Null</t>
  </si>
  <si>
    <t>Null</t>
  </si>
  <si>
    <t>unused</t>
  </si>
  <si>
    <t>Rage</t>
  </si>
  <si>
    <t>Rage / Null</t>
  </si>
  <si>
    <t>Search</t>
  </si>
  <si>
    <t>Search / Null</t>
  </si>
  <si>
    <t>Shield Bash</t>
  </si>
  <si>
    <t>Staff Recharge</t>
  </si>
  <si>
    <t>StaffRecharge / Null</t>
  </si>
  <si>
    <t>Town Portal</t>
  </si>
  <si>
    <t>belt ability</t>
  </si>
  <si>
    <t>TownPortal / Null</t>
  </si>
  <si>
    <t>Trap Disarm</t>
  </si>
  <si>
    <t>TrapDisarm / Null</t>
  </si>
  <si>
    <t>Zeal</t>
  </si>
  <si>
    <t>Every class-tree row in the game at v1.9.114 - built and unbuilt</t>
  </si>
  <si>
    <t>Built' is the implemented flag in class_tree.cpp. An unbuilt row is listed and described in game and takes no points - it is not a gap in this sheet.</t>
  </si>
  <si>
    <t>Page</t>
  </si>
  <si>
    <t>Built</t>
  </si>
  <si>
    <t>Spell slot</t>
  </si>
  <si>
    <t>Description</t>
  </si>
  <si>
    <t>Bash</t>
  </si>
  <si>
    <t>Active</t>
  </si>
  <si>
    <t>no</t>
  </si>
  <si>
    <t>A heavy blow that knocks the target back. Not yet built.</t>
  </si>
  <si>
    <t>Leap</t>
  </si>
  <si>
    <t>Vault over anything in the way. Not yet built: it needs new movement work.</t>
  </si>
  <si>
    <t>Double Swing</t>
  </si>
  <si>
    <t>Strike with both weapons at once. Not yet built.</t>
  </si>
  <si>
    <t>Stun</t>
  </si>
  <si>
    <t>A blow that leaves the target reeling. Not yet built.</t>
  </si>
  <si>
    <t>Double Throw</t>
  </si>
  <si>
    <t>Hurl both thrown weapons at once. Inert: this engine has no thrown weapons.</t>
  </si>
  <si>
    <t>Leap Attack</t>
  </si>
  <si>
    <t>Leap onto a distant enemy and strike on landing. Not yet built.</t>
  </si>
  <si>
    <t>Concentrate</t>
  </si>
  <si>
    <t>A focused blow you cannot be jolted out of. Not yet built.</t>
  </si>
  <si>
    <t>Frenzy</t>
  </si>
  <si>
    <t>Each kill drives the next blow faster. Not yet built.</t>
  </si>
  <si>
    <t>Whirlwind</t>
  </si>
  <si>
    <t>Spin through a crowd striking everything. Not yet built: it needs new movement work.</t>
  </si>
  <si>
    <t>Trade all defence for a devastating magical blow. Not yet built.</t>
  </si>
  <si>
    <t>yes</t>
  </si>
  <si>
    <t>Sharpens your aim and your blow with any sword held.</t>
  </si>
  <si>
    <t>Sharpens your aim and your blow with any axe held.</t>
  </si>
  <si>
    <t>Sharpens your aim and your blow with any mace or club held.</t>
  </si>
  <si>
    <t>Sharpens your aim and your blow with a staff - this engine's nearest pole arm.</t>
  </si>
  <si>
    <t>Throwing Mastery</t>
  </si>
  <si>
    <t>Mastery of thrown weapons. Inert: this engine has none.</t>
  </si>
  <si>
    <t>Spear Mastery</t>
  </si>
  <si>
    <t>Mastery of spears. Inert: this engine has no spear type.</t>
  </si>
  <si>
    <t>Increased Stamina</t>
  </si>
  <si>
    <t>Lengthens your wind. Inert: this engine tracks no stamina.</t>
  </si>
  <si>
    <t>Toughens your hide, raising armour class.</t>
  </si>
  <si>
    <t>You run rather than walk, wherever you are.</t>
  </si>
  <si>
    <t>Hardens you against fire, lightning and magic alike.</t>
  </si>
  <si>
    <t>Howl</t>
  </si>
  <si>
    <t>Sends nearby enemies fleeing. Inert: it needs the monster-facing pass.</t>
  </si>
  <si>
    <t>Find Potion</t>
  </si>
  <si>
    <t>Searches a corpse for a potion. Inert: it needs the corpse-handling pass.</t>
  </si>
  <si>
    <t>Taunt</t>
  </si>
  <si>
    <t>Goads an enemy into charging you. Inert: it needs the monster-facing pass.</t>
  </si>
  <si>
    <t>Shout</t>
  </si>
  <si>
    <t>A bellow that hardens you. Inert: buffs with a duration have no home here yet.</t>
  </si>
  <si>
    <t>Find Item</t>
  </si>
  <si>
    <t>Searches a corpse for loot. Inert: it needs the corpse-handling pass.</t>
  </si>
  <si>
    <t>Battle Cry</t>
  </si>
  <si>
    <t>A cry that weakens what hears it. Inert: it needs the monster-facing pass.</t>
  </si>
  <si>
    <t>Battle Orders</t>
  </si>
  <si>
    <t>A shout that swells life and mana. Inert: buffs with a duration have no home here yet.</t>
  </si>
  <si>
    <t>Grim Ward</t>
  </si>
  <si>
    <t>Raises a corpse as a totem of terror. Inert: it needs the corpse-handling pass.</t>
  </si>
  <si>
    <t>War Cry</t>
  </si>
  <si>
    <t>A shout that stuns everything near. Inert: it needs the monster-facing pass.</t>
  </si>
  <si>
    <t>Battle Command</t>
  </si>
  <si>
    <t>A command that deepens every other skill. Inert: buffs with a duration have no home here yet.</t>
  </si>
  <si>
    <t>Pound of Flesh</t>
  </si>
  <si>
    <t>Healing taken from the fallen leaves you mending and quickened, and it stacks. Not yet built.</t>
  </si>
  <si>
    <t>Ruthless</t>
  </si>
  <si>
    <t>You fall far harder on the wounded. Not yet built.</t>
  </si>
  <si>
    <t>Nerves of Steel</t>
  </si>
  <si>
    <t>A killing blow leaves you barely standing but briefly untouchable. Not yet built.</t>
  </si>
  <si>
    <t>Weapons Master</t>
  </si>
  <si>
    <t>Each family of weapon lends its own gift - damage, precision, speed or fury. Not yet built.</t>
  </si>
  <si>
    <t>Inspiring Presence</t>
  </si>
  <si>
    <t>Your shouts hold twice as long and leave everyone near you mending. Not yet built.</t>
  </si>
  <si>
    <t>Berserker Rage</t>
  </si>
  <si>
    <t>Near the height of your fury you strike far harder. Not yet built.</t>
  </si>
  <si>
    <t>Bloodthirst</t>
  </si>
  <si>
    <t>Every point of fury you spend is paid back in life. Not yet built.</t>
  </si>
  <si>
    <t>Animosity</t>
  </si>
  <si>
    <t>Fury comes faster and you can hold more of it. Not yet built.</t>
  </si>
  <si>
    <t>Superstition</t>
  </si>
  <si>
    <t>Magic and missiles hurt less, and being struck by them stokes your fury. Not yet built.</t>
  </si>
  <si>
    <t>Tough as Nails</t>
  </si>
  <si>
    <t>Your armour and the harm you return are both greatly increased. Not yet built.</t>
  </si>
  <si>
    <t>No Escape</t>
  </si>
  <si>
    <t>What you throw and what you hurl lands harder on the distant. Not yet built.</t>
  </si>
  <si>
    <t>Relentless</t>
  </si>
  <si>
    <t>Badly wounded, your skills cost half, your healing doubles and blows land softer. Not yet built.</t>
  </si>
  <si>
    <t>Brawler</t>
  </si>
  <si>
    <t>Surrounded by three or more, everything you do hurts more. Not yet built.</t>
  </si>
  <si>
    <t>Juggernaut</t>
  </si>
  <si>
    <t>What would hold you fast holds you half as long, and may give you back your life. Not yet built.</t>
  </si>
  <si>
    <t>Unforgiving</t>
  </si>
  <si>
    <t>Your fury no longer ebbs when the fighting stops - it rises. Not yet built.</t>
  </si>
  <si>
    <t>Boon of Bul-Kathos</t>
  </si>
  <si>
    <t>Your earthquake, your ancients and your berserking all return far sooner. Not yet built.</t>
  </si>
  <si>
    <t>Earthen Might</t>
  </si>
  <si>
    <t>Splitting the ground fills you with fury. Not yet built.</t>
  </si>
  <si>
    <t>Sword and Board</t>
  </si>
  <si>
    <t>Behind a shield you take far less harm and spend far less fury. Not yet built.</t>
  </si>
  <si>
    <t>Rampage</t>
  </si>
  <si>
    <t>Every kill lends you strength, and it stacks high. Not yet built.</t>
  </si>
  <si>
    <t>A song that mends your wounds as it plays.</t>
  </si>
  <si>
    <t>A song that sharpens your aim and your blow.</t>
  </si>
  <si>
    <t>A song that quickens your strikes and your stride - you run rather than walk.</t>
  </si>
  <si>
    <t>A song that hardens your guard and your wards.</t>
  </si>
  <si>
    <t>Dirge of Dread</t>
  </si>
  <si>
    <t>Weakens enemies and sends them fleeing. Inert: it needs the monster-facing pass.</t>
  </si>
  <si>
    <t>Lullaby</t>
  </si>
  <si>
    <t>Puts enemies to sleep. Inert: this engine has no sleep state.</t>
  </si>
  <si>
    <t>Epic Solo</t>
  </si>
  <si>
    <t>Mastery that empowers every Melody song. Inert: there is no per-page channel here.</t>
  </si>
  <si>
    <t>Sound Shock</t>
  </si>
  <si>
    <t>A burst of sonic force in front of you. Not yet built.</t>
  </si>
  <si>
    <t>A shout that stuns. Inert: it needs the monster-facing pass.</t>
  </si>
  <si>
    <t>Sonic Barrier</t>
  </si>
  <si>
    <t>ManaShield</t>
  </si>
  <si>
    <t>A barrier that drinks the damage meant for you. Points raise this engine's Mana Shield.</t>
  </si>
  <si>
    <t>Discord</t>
  </si>
  <si>
    <t>Strips enemy defence. Inert: it needs the monster-facing pass.</t>
  </si>
  <si>
    <t>Resonance</t>
  </si>
  <si>
    <t>Your blows amplify your next song. Inert: no such carry-over exists here.</t>
  </si>
  <si>
    <t>Echoing Song</t>
  </si>
  <si>
    <t>Your songs reach further and last longer. Inert: songs here have neither range nor duration.</t>
  </si>
  <si>
    <t>Perfect Harmony</t>
  </si>
  <si>
    <t>Mastery that empowers every Harmony skill. Inert: there is no per-page channel here.</t>
  </si>
  <si>
    <t>Daze</t>
  </si>
  <si>
    <t>Sets an enemy wandering and striking at random. Inert: it needs the monster-facing pass.</t>
  </si>
  <si>
    <t>Charm</t>
  </si>
  <si>
    <t>Turns a monster to your side. Rides this engine's Berserk, which does exactly that.</t>
  </si>
  <si>
    <t>A verse that returns your mana as it plays.</t>
  </si>
  <si>
    <t>A verse that lends you a hero's strength and grace.</t>
  </si>
  <si>
    <t>Weaken</t>
  </si>
  <si>
    <t>Blunts enemy aim and slows their step. Inert: it needs the monster-facing pass.</t>
  </si>
  <si>
    <t>Ode to Glory</t>
  </si>
  <si>
    <t>Raises a fallen ally to fight on. Inert: it needs the corpse-handling pass.</t>
  </si>
  <si>
    <t>Legendary Ballad</t>
  </si>
  <si>
    <t>Mastery that empowers every Poetry skill. Inert: there is no per-page channel here.</t>
  </si>
  <si>
    <t>Perfect Pitch</t>
  </si>
  <si>
    <t>A song held without a wrong note strikes truer the longer it runs. Not yet built.</t>
  </si>
  <si>
    <t>Crescendo</t>
  </si>
  <si>
    <t>Each verse of a song hits harder than the one before it, and it stacks. Not yet built.</t>
  </si>
  <si>
    <t>Sustain</t>
  </si>
  <si>
    <t>Your songs hold their power well after you stop playing them. Not yet built.</t>
  </si>
  <si>
    <t>Countermelody</t>
  </si>
  <si>
    <t>A second song may play beneath the first at half its strength. Not yet built.</t>
  </si>
  <si>
    <t>Rhythm</t>
  </si>
  <si>
    <t>Striking in time with your song quickens your hand. Not yet built.</t>
  </si>
  <si>
    <t>Refrain</t>
  </si>
  <si>
    <t>A song that has run its course begins again at no cost. Not yet built.</t>
  </si>
  <si>
    <t>Encore</t>
  </si>
  <si>
    <t>Falling silent leaves the last song ringing a while longer. Not yet built.</t>
  </si>
  <si>
    <t>Cadence</t>
  </si>
  <si>
    <t>Every third blow lands on the beat and hits far harder. Not yet built.</t>
  </si>
  <si>
    <t>Timbre</t>
  </si>
  <si>
    <t>Your songs reach far further from you. Not yet built.</t>
  </si>
  <si>
    <t>Virtuoso</t>
  </si>
  <si>
    <t>Your songs cost far less to hold. Not yet built.</t>
  </si>
  <si>
    <t>Dissonance</t>
  </si>
  <si>
    <t>What your songs touch strikes back weaker. Not yet built.</t>
  </si>
  <si>
    <t>Improvisation</t>
  </si>
  <si>
    <t>Switching songs costs nothing and briefly grants both. Not yet built.</t>
  </si>
  <si>
    <t>Chorus</t>
  </si>
  <si>
    <t>Every ally within earshot lends your songs strength. Not yet built.</t>
  </si>
  <si>
    <t>Overture</t>
  </si>
  <si>
    <t>The first song of a fight begins at its full power. Not yet built.</t>
  </si>
  <si>
    <t>Reverberation</t>
  </si>
  <si>
    <t>Your songs echo, striking a second time for less. Not yet built.</t>
  </si>
  <si>
    <t>Stagecraft</t>
  </si>
  <si>
    <t>Being struck while playing does not break the song. Not yet built.</t>
  </si>
  <si>
    <t>Requiem</t>
  </si>
  <si>
    <t>Each enemy that falls near you mends you a little. Not yet built.</t>
  </si>
  <si>
    <t>Magnum Opus</t>
  </si>
  <si>
    <t>Hold one song long enough and it becomes something greater. Not yet built.</t>
  </si>
  <si>
    <t>Sweeping Reed</t>
  </si>
  <si>
    <t>Sweep your staff through enemies in a wide arc. Not yet built: it needs the multi-tile melee arc.</t>
  </si>
  <si>
    <t>Breaking Current</t>
  </si>
  <si>
    <t>A focused strike that breaks armour and interrupts. Inert: it needs the monster-facing pass.</t>
  </si>
  <si>
    <t>Reed in the Wind</t>
  </si>
  <si>
    <t>Staff blocks carry you aside. Inert: this engine exposes no block-chance channel.</t>
  </si>
  <si>
    <t>Vaulting Strike</t>
  </si>
  <si>
    <t>Vault over danger onto a distant foe. Not yet built: it needs new movement work.</t>
  </si>
  <si>
    <t>Wheel of Heaven</t>
  </si>
  <si>
    <t>Spin your staff, striking all around you. Not yet built.</t>
  </si>
  <si>
    <t>Seven Reeds</t>
  </si>
  <si>
    <t>A rapid chain of staff blows. Not yet built; the Paladin's Zeal burst is the nearest machinery.</t>
  </si>
  <si>
    <t>Your mastery of the staff empowers every Way of the Staff skill. With a staff in hand: +10% damage and a sharper aim.</t>
  </si>
  <si>
    <t>Open Palm</t>
  </si>
  <si>
    <t>An open-hand strike that drives the enemy back. Not yet built.</t>
  </si>
  <si>
    <t>Move through battle with greater speed. One point makes you run rather than walk; the evade half needs an avoidance roll this engine has not got.</t>
  </si>
  <si>
    <t>Discipline hardens your body while you wear light armour or none at all. Unarmoured: armour class by level, and blows land lighter. Light armour keeps half. Mail and plate switch it off.</t>
  </si>
  <si>
    <t>Counterstroke</t>
  </si>
  <si>
    <t>A block empowers your next blow. Inert: nothing here reports a block to build on.</t>
  </si>
  <si>
    <t>Purifying Breath</t>
  </si>
  <si>
    <t>Centre yourself against the elements. Inert: the cleansing half needs status effects this engine has not got.</t>
  </si>
  <si>
    <t>Hundred Fists</t>
  </si>
  <si>
    <t>A storm of unarmed strikes on one enemy. Not yet built.</t>
  </si>
  <si>
    <t>Your mastery of the body empowers every Way of the Body skill: a tenth more life, and you shake off hits faster.</t>
  </si>
  <si>
    <t>Inner Sight</t>
  </si>
  <si>
    <t>Reveal nearby objects, traps and treasure. Deepens the Monk's own Search: every point holds the sight longer.</t>
  </si>
  <si>
    <t>Restore life to yourself over time. Held like an aura rather than cast, so it mends you for as long as it plays.</t>
  </si>
  <si>
    <t>Temple Bell</t>
  </si>
  <si>
    <t>A tone that staggers and repels the undead. Inert: it needs the monster-facing pass.</t>
  </si>
  <si>
    <t>Spirit Ward</t>
  </si>
  <si>
    <t>Surround yourself with a barrier against magic. Rides this engine's Mana Shield, which drinks the blow into your mana; every point makes it drink deeper.</t>
  </si>
  <si>
    <t>Radiant Palm</t>
  </si>
  <si>
    <t>Marks an enemy to erupt when it falls. Not yet built.</t>
  </si>
  <si>
    <t>Tranquility</t>
  </si>
  <si>
    <t>A sanctuary that slows enemies and restores allies. Inert: it needs a ground-effect pass.</t>
  </si>
  <si>
    <t>Your mastery of spirit empowers every Way of the Spirit skill: a tenth more mana, and ten points of every resistance.</t>
  </si>
  <si>
    <t>Resolve</t>
  </si>
  <si>
    <t>What you strike strikes back weaker for a while. Not yet built.</t>
  </si>
  <si>
    <t>Fleet Footed</t>
  </si>
  <si>
    <t>You move faster at all times. Not yet built.</t>
  </si>
  <si>
    <t>Exalted Soul</t>
  </si>
  <si>
    <t>You hold more spirit and recover it faster. Not yet built.</t>
  </si>
  <si>
    <t>Transcendence</t>
  </si>
  <si>
    <t>Every point of spirit you spend returns as life. Not yet built.</t>
  </si>
  <si>
    <t>Chant of Resonance</t>
  </si>
  <si>
    <t>Your mantras cost far less to invoke. Not yet built.</t>
  </si>
  <si>
    <t>Seize the Initiative</t>
  </si>
  <si>
    <t>Striking the unwounded quickens your hand. Not yet built.</t>
  </si>
  <si>
    <t>The Guardian's Path</t>
  </si>
  <si>
    <t>Two weapons lend you evasion; one great staff lends you spirit. Not yet built.</t>
  </si>
  <si>
    <t>Sixth Sense</t>
  </si>
  <si>
    <t>Everything that is not steel hurts you far less. Not yet built.</t>
  </si>
  <si>
    <t>Determination</t>
  </si>
  <si>
    <t>Every enemy pressing close makes you hit harder. Not yet built.</t>
  </si>
  <si>
    <t>Relentless Assault</t>
  </si>
  <si>
    <t>You fall harder on anything blinded, frozen or reeling. Not yet built.</t>
  </si>
  <si>
    <t>Beacon of Ytar</t>
  </si>
  <si>
    <t>Every cooldown you carry comes round sooner. Not yet built.</t>
  </si>
  <si>
    <t>Alacrity</t>
  </si>
  <si>
    <t>Your spirit-building strikes come faster. Not yet built.</t>
  </si>
  <si>
    <t>Harmony</t>
  </si>
  <si>
    <t>A ward against one element becomes a lesser ward against all of them. Not yet built.</t>
  </si>
  <si>
    <t>Combination Strike</t>
  </si>
  <si>
    <t>Rotating your strikes makes each of them stronger. Not yet built.</t>
  </si>
  <si>
    <t>Near Death Experience</t>
  </si>
  <si>
    <t>Once a minute a killing blow restores your life and spirit instead. Not yet built.</t>
  </si>
  <si>
    <t>Unity</t>
  </si>
  <si>
    <t>Every ally under your mantra lends you strength. Not yet built.</t>
  </si>
  <si>
    <t>Momentum</t>
  </si>
  <si>
    <t>Cover enough ground and your next blows land far harder. Not yet built.</t>
  </si>
  <si>
    <t>Mythic Rhythm</t>
  </si>
  <si>
    <t>Every third building strike charges the spender that follows. Not yet built.</t>
  </si>
  <si>
    <t>Sacrifice</t>
  </si>
  <si>
    <t>Strike for heavy bonus damage and wound yourself for a share of it. Not yet built.</t>
  </si>
  <si>
    <t>Smite</t>
  </si>
  <si>
    <t>ShieldBash</t>
  </si>
  <si>
    <t>Bash with your shield: it always connects and briefly stuns. A shield is mandatory.</t>
  </si>
  <si>
    <t>A bolt of holy energy that sears the undead. Withdrawn: it collided with this engine's own Holy Bolt spell.</t>
  </si>
  <si>
    <t>Strike several times in one furious burst. Each invested pair of points adds a strike, up to five.</t>
  </si>
  <si>
    <t>Rush an enemy and land a running blow.</t>
  </si>
  <si>
    <t>Vengeance</t>
  </si>
  <si>
    <t>Adds fire, lightning and cold damage to your attack. Not yet built; this engine also has no cold.</t>
  </si>
  <si>
    <t>HammerOfFaith</t>
  </si>
  <si>
    <t>A heavy swing whose force splashes over everything around your target.</t>
  </si>
  <si>
    <t>BlessedShield</t>
  </si>
  <si>
    <t>Hurls your shield at a crowd, striking several of them before it returns. A shield is mandatory.</t>
  </si>
  <si>
    <t>BlessedHammer</t>
  </si>
  <si>
    <t>Looses a spinning hammer that wheels outward through anything in its path.</t>
  </si>
  <si>
    <t>Conversion</t>
  </si>
  <si>
    <t>Turns an enemy to your side. Withdrawn pending design work: its Berserk behaviour was wrong.</t>
  </si>
  <si>
    <t>FistOfTheHeavens</t>
  </si>
  <si>
    <t>Calls down a bolt from the sky, which bursts into holy energy where it lands.</t>
  </si>
  <si>
    <t>Increases the damage you deal.</t>
  </si>
  <si>
    <t>Wreathes your weapon in flame, adding fire damage to every blow.</t>
  </si>
  <si>
    <t>Returns damage to whatever strikes you. This engine's thorns is a flat return, so points light it rather than growing it.</t>
  </si>
  <si>
    <t>Steadies your hand, raising your chance to hit.</t>
  </si>
  <si>
    <t>Raises damage and steadies you against interruption.</t>
  </si>
  <si>
    <t>Holy Freeze</t>
  </si>
  <si>
    <t>Chills nearby enemies and adds cold damage. Inert: this engine has no cold and no slow.</t>
  </si>
  <si>
    <t>Charges your weapon, adding lightning damage to every blow.</t>
  </si>
  <si>
    <t>Hallows the ground you stand on: nearby undead break and flee from you. Champions are too proud to run.</t>
  </si>
  <si>
    <t>Drives you to strike faster, harder and truer.</t>
  </si>
  <si>
    <t>Strips the resistances of every enemy near you, and at five points begins to break their immunities down into mere resistances.</t>
  </si>
  <si>
    <t>Mends your wounds steadily as you walk.</t>
  </si>
  <si>
    <t>Hardens you against fire.</t>
  </si>
  <si>
    <t>Raises your armour class.</t>
  </si>
  <si>
    <t>Hardens you against cold. No cold exists here, so it wards against magic instead.</t>
  </si>
  <si>
    <t>Hardens you against lightning.</t>
  </si>
  <si>
    <t>Cleansing</t>
  </si>
  <si>
    <t>Shortens poison and curses. Inert: this engine tracks no duration for either.</t>
  </si>
  <si>
    <t>Quickens your stride: you run instead of walking, wherever you are.</t>
  </si>
  <si>
    <t>Restores your mana steadily as you walk.</t>
  </si>
  <si>
    <t>Redemption</t>
  </si>
  <si>
    <t>Consumes the fallen for life and mana. Inert: it needs the corpse-handling pass.</t>
  </si>
  <si>
    <t>Wards you against fire, lightning and magic alike.</t>
  </si>
  <si>
    <t>Heavenly Strength</t>
  </si>
  <si>
    <t>Bear a two-handed weapon in your main hand and a shield in the other. Not yet built.</t>
  </si>
  <si>
    <t>Fervor</t>
  </si>
  <si>
    <t>One-handed weapons swing faster and your cooldowns come round sooner. Not yet built.</t>
  </si>
  <si>
    <t>Vigilant</t>
  </si>
  <si>
    <t>Your wounds close faster and every blow that is not steel hurts less. Not yet built.</t>
  </si>
  <si>
    <t>Righteousness</t>
  </si>
  <si>
    <t>Your opening strikes build wrath faster, and you hold more of it. Not yet built.</t>
  </si>
  <si>
    <t>Insurmountable</t>
  </si>
  <si>
    <t>Every blow you turn aside feeds your wrath. Not yet built.</t>
  </si>
  <si>
    <t>Your simplest attacks land faster than a measured swing would. Not yet built.</t>
  </si>
  <si>
    <t>Indestructible</t>
  </si>
  <si>
    <t>Once a minute a killing blow leaves you standing, stronger and drinking life. Not yet built.</t>
  </si>
  <si>
    <t>Holy Cause</t>
  </si>
  <si>
    <t>Your weapon bites deeper, and holy damage mends you as it burns. Not yet built.</t>
  </si>
  <si>
    <t>Wrathful</t>
  </si>
  <si>
    <t>Spent wrath returns to you as life. Not yet built.</t>
  </si>
  <si>
    <t>Divine Fortress</t>
  </si>
  <si>
    <t>The shield you hide behind becomes armour you wear. Not yet built.</t>
  </si>
  <si>
    <t>Lord Commander</t>
  </si>
  <si>
    <t>Your mount, your bombardment and your phalanx all answer sooner and hit harder. Not yet built.</t>
  </si>
  <si>
    <t>Hold Your Ground</t>
  </si>
  <si>
    <t>You no longer dodge at all, and block far more. Not yet built.</t>
  </si>
  <si>
    <t>Long Arm of the Law</t>
  </si>
  <si>
    <t>Every law you declare holds its power longer. Not yet built.</t>
  </si>
  <si>
    <t>Iron Maiden</t>
  </si>
  <si>
    <t>What strikes you is returned with far greater interest. Not yet built.</t>
  </si>
  <si>
    <t>Renewal</t>
  </si>
  <si>
    <t>Each blow turned aside returns a measure of life. Not yet built.</t>
  </si>
  <si>
    <t>Finery</t>
  </si>
  <si>
    <t>Every gem set into your gear lends you strength. Not yet built.</t>
  </si>
  <si>
    <t>Blunt</t>
  </si>
  <si>
    <t>Justice and the blessed hammer fall heavier. Not yet built.</t>
  </si>
  <si>
    <t>Towering Shield</t>
  </si>
  <si>
    <t>Every skill worked through your shield strikes harder and readies sooner. Not yet built.</t>
  </si>
  <si>
    <t>Magic Arrow</t>
  </si>
  <si>
    <t>An arrow of pure force that costs no ammunition. Not yet built.</t>
  </si>
  <si>
    <t>Fire Arrow</t>
  </si>
  <si>
    <t>An arrow wrapped in flame. Not yet built.</t>
  </si>
  <si>
    <t>Cold Arrow</t>
  </si>
  <si>
    <t>An arrow that chills. Inert: this engine has no cold damage.</t>
  </si>
  <si>
    <t>Multiple Shot</t>
  </si>
  <si>
    <t>Looses a fan of arrows at once. Not yet built.</t>
  </si>
  <si>
    <t>Exploding Arrow</t>
  </si>
  <si>
    <t>An arrow that bursts where it lands. Not yet built.</t>
  </si>
  <si>
    <t>Ice Arrow</t>
  </si>
  <si>
    <t>An arrow that freezes its target. Inert: no cold, no freeze.</t>
  </si>
  <si>
    <t>Guided Arrow</t>
  </si>
  <si>
    <t>An arrow that hunts its target. Not yet built.</t>
  </si>
  <si>
    <t>Strafe</t>
  </si>
  <si>
    <t>Looses at every enemy in view in turn. Not yet built.</t>
  </si>
  <si>
    <t>Immolation Arrow</t>
  </si>
  <si>
    <t>An arrow that leaves a burning pool. Not yet built.</t>
  </si>
  <si>
    <t>Freezing Arrow</t>
  </si>
  <si>
    <t>An arrow that freezes everything near where it lands. Inert: no cold.</t>
  </si>
  <si>
    <t>Lights nearby enemies and strips their defence. Inert: it needs the monster-facing pass.</t>
  </si>
  <si>
    <t>A chance to strike for double. This engine has no critical roll, so it raises your damage instead.</t>
  </si>
  <si>
    <t>Dodge</t>
  </si>
  <si>
    <t>A chance to slip a blow while standing. Inert: no avoidance roll exists here.</t>
  </si>
  <si>
    <t>Slow Missiles</t>
  </si>
  <si>
    <t>Slows what is thrown at you. Inert: it needs the monster-facing pass.</t>
  </si>
  <si>
    <t>Avoid</t>
  </si>
  <si>
    <t>A chance to slip a missile. Inert: no avoidance roll exists here.</t>
  </si>
  <si>
    <t>Sharpens your aim with anything you wield.</t>
  </si>
  <si>
    <t>Decoy</t>
  </si>
  <si>
    <t>A double of yourself to draw fire. Not yet built.</t>
  </si>
  <si>
    <t>Evade</t>
  </si>
  <si>
    <t>A chance to slip a blow while moving. Inert: no avoidance roll exists here.</t>
  </si>
  <si>
    <t>Valkyrie</t>
  </si>
  <si>
    <t>Calls a warrior to fight beside you. Mapped onto this engine's Golem, which is the same idea.</t>
  </si>
  <si>
    <t>Pierce</t>
  </si>
  <si>
    <t>Your missiles carry on through. Not yet built.</t>
  </si>
  <si>
    <t>Jab</t>
  </si>
  <si>
    <t>A rapid flurry of thrusts. Not yet built.</t>
  </si>
  <si>
    <t>Power Strike</t>
  </si>
  <si>
    <t>A thrust charged with lightning. Not yet built.</t>
  </si>
  <si>
    <t>Poison Javelin</t>
  </si>
  <si>
    <t>A javelin trailing venom. Inert: this engine has no poison.</t>
  </si>
  <si>
    <t>Impale</t>
  </si>
  <si>
    <t>A savage thrust that wears the weapon. Not yet built.</t>
  </si>
  <si>
    <t>Charged Strike</t>
  </si>
  <si>
    <t>A thrust that throws off charged bolts. Not yet built.</t>
  </si>
  <si>
    <t>Lightning Bolt</t>
  </si>
  <si>
    <t>Turns a thrown javelin into a bolt. Not yet built.</t>
  </si>
  <si>
    <t>Plague Javelin</t>
  </si>
  <si>
    <t>A javelin trailing a cloud of pestilence. Inert: this engine has no poison.</t>
  </si>
  <si>
    <t>Fend</t>
  </si>
  <si>
    <t>Strikes every enemy around you in one motion. Not yet built.</t>
  </si>
  <si>
    <t>Lightning Strike</t>
  </si>
  <si>
    <t>A thrust whose lightning leaps onward. Not yet built.</t>
  </si>
  <si>
    <t>Lightning Fury</t>
  </si>
  <si>
    <t>A javelin that bursts into many bolts. Not yet built.</t>
  </si>
  <si>
    <t>Thrill of the Hunt</t>
  </si>
  <si>
    <t>What your heavier shots strike is slowed almost to a stop. Not yet built.</t>
  </si>
  <si>
    <t>Tactical Advantage</t>
  </si>
  <si>
    <t>Every evasion leaves you running far faster. Not yet built.</t>
  </si>
  <si>
    <t>Blood Vengeance</t>
  </si>
  <si>
    <t>You hold more hatred, and the fallen restore both hatred and discipline. Not yet built.</t>
  </si>
  <si>
    <t>Steady Aim</t>
  </si>
  <si>
    <t>With nothing close to you, everything you do hurts more. Not yet built.</t>
  </si>
  <si>
    <t>Cull the Weak</t>
  </si>
  <si>
    <t>You fall harder on anything already slowed. Not yet built.</t>
  </si>
  <si>
    <t>Night Stalker</t>
  </si>
  <si>
    <t>Your opening shots build hatred faster. Not yet built.</t>
  </si>
  <si>
    <t>Brooding</t>
  </si>
  <si>
    <t>Stand still and your wounds close faster and faster. Not yet built.</t>
  </si>
  <si>
    <t>Hot Pursuit</t>
  </si>
  <si>
    <t>Landing a blow leaves you moving faster. Not yet built.</t>
  </si>
  <si>
    <t>Archery</t>
  </si>
  <si>
    <t>Each kind of bow lends its own gift - damage, precision or hatred. Not yet built.</t>
  </si>
  <si>
    <t>Numbing Traps</t>
  </si>
  <si>
    <t>Anything you have slowed strikes back far weaker. Not yet built.</t>
  </si>
  <si>
    <t>Perfectionist</t>
  </si>
  <si>
    <t>Your discipline goes further and your armour and wards are stronger. Not yet built.</t>
  </si>
  <si>
    <t>Custom Engineering</t>
  </si>
  <si>
    <t>Your traps and sentries last twice as long and you may set more. Not yet built.</t>
  </si>
  <si>
    <t>Grenadier</t>
  </si>
  <si>
    <t>Your grenades hit harder, burst wider, and one falls when you do. Not yet built.</t>
  </si>
  <si>
    <t>Sharpshooter</t>
  </si>
  <si>
    <t>Every moment you do not land a telling blow makes the next one likelier. Not yet built.</t>
  </si>
  <si>
    <t>Ballistics</t>
  </si>
  <si>
    <t>Your rockets hit twice as hard and sometimes seek their mark. Not yet built.</t>
  </si>
  <si>
    <t>Leech</t>
  </si>
  <si>
    <t>Every blow you land returns life. Not yet built.</t>
  </si>
  <si>
    <t>Ambush</t>
  </si>
  <si>
    <t>You fall far harder on the unwounded. Not yet built.</t>
  </si>
  <si>
    <t>Awareness</t>
  </si>
  <si>
    <t>Once a minute a killing blow makes you vanish and mends you instead. Not yet built.</t>
  </si>
  <si>
    <t>Single Out</t>
  </si>
  <si>
    <t>Anything that has strayed from its fellows is far easier to strike truly. Not yet built.</t>
  </si>
  <si>
    <t>Ice Bolt</t>
  </si>
  <si>
    <t>A shard of ice that chills what it hits. Inert: this engine has no cold damage.</t>
  </si>
  <si>
    <t>Frozen Armor</t>
  </si>
  <si>
    <t>Armour of ice that freezes attackers. Inert: no cold, no freeze.</t>
  </si>
  <si>
    <t>Frost Nova</t>
  </si>
  <si>
    <t>A ring of ice bursting outward. Inert: no cold damage.</t>
  </si>
  <si>
    <t>Ice Blast</t>
  </si>
  <si>
    <t>A shard that freezes its target solid. Inert: no cold, no freeze.</t>
  </si>
  <si>
    <t>Shiver Armor</t>
  </si>
  <si>
    <t>Armour that answers blows with ice. Inert: no cold damage.</t>
  </si>
  <si>
    <t>Glacial Spike</t>
  </si>
  <si>
    <t>A spike that shatters into freezing shards. Inert: no cold damage.</t>
  </si>
  <si>
    <t>Blizzard</t>
  </si>
  <si>
    <t>Ice falls across a wide area. Inert: no cold damage.</t>
  </si>
  <si>
    <t>Chilling Armor</t>
  </si>
  <si>
    <t>Armour that answers ranged attacks in kind. Inert: no cold damage.</t>
  </si>
  <si>
    <t>Frozen Orb</t>
  </si>
  <si>
    <t>An orb that wanders, shedding ice. Inert: no cold damage.</t>
  </si>
  <si>
    <t>Cold Mastery</t>
  </si>
  <si>
    <t>Pierces cold resistance. Inert: there is no cold to master.</t>
  </si>
  <si>
    <t>ChargedBolt</t>
  </si>
  <si>
    <t>Looses a spray of erratic bolts. Points raise this engine's Charged Bolt.</t>
  </si>
  <si>
    <t>Static Field</t>
  </si>
  <si>
    <t>Strips a share of the life from everything near. Inert: no analogue exists here.</t>
  </si>
  <si>
    <t>Works objects and gathers items at a distance. Points raise this engine's Telekinesis.</t>
  </si>
  <si>
    <t>A ring of lightning bursting outward. Points raise this engine's Nova.</t>
  </si>
  <si>
    <t>A bolt that strikes in a line. Points raise this engine's Lightning.</t>
  </si>
  <si>
    <t>ChainLightning</t>
  </si>
  <si>
    <t>A bolt that leaps between enemies. Points raise this engine's Chain Lightning.</t>
  </si>
  <si>
    <t>Step instantly to a place you can see. Points raise this engine's Teleport.</t>
  </si>
  <si>
    <t>Thunder Storm</t>
  </si>
  <si>
    <t>A storm that strikes on its own as you fight. Inert: no analogue exists here.</t>
  </si>
  <si>
    <t>Energy Shield</t>
  </si>
  <si>
    <t>Mana takes the damage your life would. Points raise this engine's Mana Shield.</t>
  </si>
  <si>
    <t>Your blows carry lightning, and lightning troubles you less. Not D2's spell scaling: this engine deepens a spell by its LEVEL, and has no per-element channel to raise.</t>
  </si>
  <si>
    <t>Fire Bolt</t>
  </si>
  <si>
    <t>A bolt of flame. Points raise this engine's Fire Bolt.</t>
  </si>
  <si>
    <t>Your mana returns of its own accord.</t>
  </si>
  <si>
    <t>A gout of flame from your hands. Points raise this engine's Inferno.</t>
  </si>
  <si>
    <t>Blaze</t>
  </si>
  <si>
    <t>FlameWave</t>
  </si>
  <si>
    <t>Leaves fire in your wake. Mapped onto this engine's Flame Wave, the nearest rolling fire it has.</t>
  </si>
  <si>
    <t>Fire Ball</t>
  </si>
  <si>
    <t>A bursting ball of flame. Points raise this engine's Fireball.</t>
  </si>
  <si>
    <t>FireWall</t>
  </si>
  <si>
    <t>A wall of flame across the ground. Points raise this engine's Fire Wall.</t>
  </si>
  <si>
    <t>Your weapon burns: every blow carries fire. A passive rather than a cast buff, since a tree skill with no spell slot has no way to be cast.</t>
  </si>
  <si>
    <t>Meteor</t>
  </si>
  <si>
    <t>Calls a burning rock down from the sky. Inert: no analogue exists here.</t>
  </si>
  <si>
    <t>Hydra</t>
  </si>
  <si>
    <t>Sets a fire-breathing head to guard a spot. Mapped onto this engine's Guardian, which is the same idea.</t>
  </si>
  <si>
    <t>Fire burns for you and less against you. Not D2's spell scaling: this engine deepens a spell by its LEVEL, and has no per-element channel to raise.</t>
  </si>
  <si>
    <t>Power Hungry</t>
  </si>
  <si>
    <t>You deal far more harm to what is far away. Not yet built.</t>
  </si>
  <si>
    <t>Blur</t>
  </si>
  <si>
    <t>Everything that strikes you strikes softer. Not yet built.</t>
  </si>
  <si>
    <t>Evocation</t>
  </si>
  <si>
    <t>Glass Cannon</t>
  </si>
  <si>
    <t>You hit much harder and are much easier to hit back. Not yet built.</t>
  </si>
  <si>
    <t>Prodigy</t>
  </si>
  <si>
    <t>Your simplest spells give back arcane power as you cast them. Not yet built.</t>
  </si>
  <si>
    <t>Astral Presence</t>
  </si>
  <si>
    <t>You hold more arcane power and recover it faster. Not yet built.</t>
  </si>
  <si>
    <t>Illusionist</t>
  </si>
  <si>
    <t>A heavy blow resets your escapes and speeds your step. Not yet built.</t>
  </si>
  <si>
    <t>Cold Blooded</t>
  </si>
  <si>
    <t>What you have chilled takes more harm from every source. Not yet built.</t>
  </si>
  <si>
    <t>Conflagration</t>
  </si>
  <si>
    <t>What you set alight becomes easier to strike truly. Not yet built.</t>
  </si>
  <si>
    <t>Paralysis</t>
  </si>
  <si>
    <t>Your lightning may stun everything it touches. Not yet built.</t>
  </si>
  <si>
    <t>Galvanizing Ward</t>
  </si>
  <si>
    <t>Go unharmed a moment and a ward forms around you. Not yet built.</t>
  </si>
  <si>
    <t>Temporal Flux</t>
  </si>
  <si>
    <t>Arcane harm slows what it touches to a crawl. Not yet built.</t>
  </si>
  <si>
    <t>Dominance</t>
  </si>
  <si>
    <t>Every kill lays another shell of shielding over you. Not yet built.</t>
  </si>
  <si>
    <t>Arcane Dynamo</t>
  </si>
  <si>
    <t>Five simple spells charge the next great one. Not yet built.</t>
  </si>
  <si>
    <t>Unstable Anomaly</t>
  </si>
  <si>
    <t>A killing blow throws up a vast ward and scatters what stands near. Not yet built.</t>
  </si>
  <si>
    <t>Unwavering Will</t>
  </si>
  <si>
    <t>Stand still a moment and your armour, your wards and your damage all rise. Not yet built.</t>
  </si>
  <si>
    <t>Audacity</t>
  </si>
  <si>
    <t>You deal far more harm to whatever is close enough to touch. Not yet built.</t>
  </si>
  <si>
    <t>Elemental Exposure</t>
  </si>
  <si>
    <t>Striking with a new element leaves the target more open to all of them. Not yet built.</t>
  </si>
  <si>
    <t>How to read this workbook</t>
  </si>
  <si>
    <t>Where the numbers come from</t>
  </si>
  <si>
    <t>Nothing here is estimated. The inventory is parsed out of class_tree.cpp and spelldat.cpp (via wiki/data.js, which tools/BuildWiki.ps1 generates). The per-rank effects are transcribed from ApplyAura, ApplyPassive and ProcessClassTreeTick in Source/oracool/class_tree.cpp. Spell damage is GetDamageAmtAtLevel in Source/missiles.cpp; mana is GetManaAmount in Source/spells.cpp; the aura radius is AuraRadiusForPoints in Source/oracool/aura_field.cpp.</t>
  </si>
  <si>
    <t>The rank formula</t>
  </si>
  <si>
    <t>Scaled(points, base, perPoint) = base + perPoint x (points - 1). The FIRST point buys the base; each point after it adds perPoint. Nothing invested means the skill is inert.</t>
  </si>
  <si>
    <t>Aura radius</t>
  </si>
  <si>
    <t>AuraRadiusForPoints(p) = min(4 + (p-1)/2, 8), integer division. Four tiles at one point, one more tile every SECOND point, capped at eight - which is reached at nine points. Every aura shares this; it is the only quantity all of them scale by.</t>
  </si>
  <si>
    <t>The ceiling is 98, and you get 98 points</t>
  </si>
  <si>
    <t>MaxSpellLevel and MaxTreeInvestment are both 98, and deliberately the same number: the level cap is 99 and you earn one skill point per level from 2 to 99, so 98 is EXACTLY the whole pool a character can ever earn. The cap says "everything you have" rather than imposing a limit of its own - which also means maxing one skill spends your entire lifetime allocation, and no character can have two skills at 98.</t>
  </si>
  <si>
    <t>Two of the 273 rows have smaller caps</t>
  </si>
  <si>
    <t>The Max rank column carries the skill's own ceiling. 142 rows use the 98 default; the Monk's 18 rows are capped at 5; and 113 rows are capped at 1 - those are the Passive Skills pages, which take no points at all and are chosen by SLOT rather than bought. A rank column past a row's ceiling reads "-" rather than a figure for a rank that cannot exist.</t>
  </si>
  <si>
    <t>What is actually reachable is lower</t>
  </si>
  <si>
    <t>The Rule of Rangs means rank R demands character level tierLevel + R - 1, so at the level cap of 99 a skill stops at 100 - tierLevel whatever its own ceiling says. Tier 1 reaches 98; tier 2 stops at 94, tier 3 at 88, tier 4 at 82, tier 5 at 76, tier 6 at 70, and tier 7 at 64. ONLY a tier-1 skill can ever touch the 98 cap. Book spells obey the same rule from their band instead of a tier, so a band-30 spell reaches 70. The Reachable at level 99 column is the smaller of the two, which is the number a build actually has to plan against.</t>
  </si>
  <si>
    <t>The level requirement climbs</t>
  </si>
  <si>
    <t>A skill's tier sets its floor (tier 1 = level 1, then 6, 12, 18, 24, 30, 36). Each rank after the first costs one more character level: RankRequiredLevel(tierLevel, rank) = tierLevel + rank - 1. A tier-1 skill takes its tenth point at level 10, and a tier-7 skill takes its tenth at 45.</t>
  </si>
  <si>
    <t>Spell mana</t>
  </si>
  <si>
    <t>Mana falls by the spell's own manaAdj for every level above 1, down to the floor in the Mana floor column. Firebolt halves that saving. Rogue, Monk and Bard pay 25% less overall; a Hellfire Sorcerer pays half.</t>
  </si>
  <si>
    <t>ScaleSpellEffect</t>
  </si>
  <si>
    <t>ScaleSpellEffect(base, sl) adds base/8 once per spell level - about +12.5% compounding, with integer truncation at every step. Only the spells whose formula shows Scale(...) grow with spell level at all.</t>
  </si>
  <si>
    <t>Spells that do NOT scale with spell level</t>
  </si>
  <si>
    <t>Lightning, Rune of Light, Fire Wall, Lightning Wall, Ring of Fire, Chain Lightning, Flame Wave, Inferno, Golem, Apocalypse, Charged Bolt and Holy Bolt take their damage from the CHARACTER's level or magic alone. Extra spell levels still cut their mana cost, but not their damage. This is inherited engine behaviour, recorded here rather than changed.</t>
  </si>
  <si>
    <t>What is missing, and why</t>
  </si>
  <si>
    <t>206 of the 273 class-tree rows are not built yet - see the Built column on Full inventory. They are listed and described in game and take no points. They have no per-rank numbers here because there is no code behind them; inventing some for this sheet would be worse than the blank, so the blank stands.</t>
  </si>
  <si>
    <t>Flag effects</t>
  </si>
  <si>
    <t>Some ranks buy a flag rather than a number - fast attack, fastest hit recovery, thorns, a skipped run frame. A flag is on from the first point and does not grow, so its rank columns read "-" rather than a made-up curve.</t>
  </si>
  <si>
    <t>Conditional effects</t>
  </si>
  <si>
    <t>A Barbarian mastery pays only while the matching weapon is held; Iron Robe pays only in light or no armour, at half in light. The Conditions column names every such 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</si>
</sst>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charset val="204"/>
      <scheme val="minor"/>
    </font>
    <font>
      <b/>
      <sz val="13"/>
      <color theme="1"/>
      <name val="Arial"/>
      <family val="2"/>
      <charset val="204"/>
    </font>
    <font>
      <b/>
      <sz val="10"/>
      <color theme="1"/>
      <name val="Arial"/>
      <family val="2"/>
      <charset val="204"/>
    </font>
    <font>
      <sz val="10"/>
      <color theme="1"/>
      <name val="Arial"/>
      <family val="2"/>
      <charset val="204"/>
    </font>
    <font>
      <i/>
      <sz val="10"/>
      <color theme="1"/>
      <name val="Arial"/>
      <family val="2"/>
      <charset val="204"/>
    </font>
    <font>
      <b/>
      <sz val="10"/>
      <color rgb="FFFFFFFF"/>
      <name val="Arial"/>
      <family val="2"/>
      <charset val="204"/>
    </font>
  </fonts>
  <fills count="3">
    <fill>
      <patternFill patternType="none"/>
    </fill>
    <fill>
      <patternFill patternType="gray125"/>
    </fill>
    <fill>
      <patternFill patternType="solid">
        <fgColor rgb="FF1F3864"/>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9">
    <xf numFmtId="0" fontId="0" fillId="0" borderId="0" xfId="0"/>
    <xf numFmtId="0" fontId="1" fillId="0" borderId="0" xfId="0" applyFont="1"/>
    <xf numFmtId="0" fontId="3" fillId="0" borderId="0" xfId="0" applyFont="1"/>
    <xf numFmtId="0" fontId="4" fillId="0" borderId="0" xfId="0" applyFont="1"/>
    <xf numFmtId="0" fontId="5" fillId="2" borderId="0" xfId="0" applyFont="1" applyFill="1" applyAlignment="1">
      <alignment horizontal="center" vertical="center" wrapText="1"/>
    </xf>
    <xf numFmtId="0" fontId="4" fillId="0" borderId="0" xfId="0" quotePrefix="1" applyFont="1"/>
    <xf numFmtId="0" fontId="2" fillId="0" borderId="0" xfId="0" applyFont="1" applyAlignment="1">
      <alignment vertical="top" wrapText="1"/>
    </xf>
    <xf numFmtId="0" fontId="3" fillId="0" borderId="0" xfId="0" applyFont="1" applyAlignment="1">
      <alignment vertical="top"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AE3DF-368C-48CA-8230-9A0C326DBCEB}">
  <dimension ref="A1:S70"/>
  <sheetViews>
    <sheetView tabSelected="1" workbookViewId="0">
      <pane ySplit="4" topLeftCell="A5" activePane="bottomLeft" state="frozen"/>
      <selection pane="bottomLeft" activeCell="A5" sqref="A5"/>
    </sheetView>
  </sheetViews>
  <sheetFormatPr defaultRowHeight="12.75" x14ac:dyDescent="0.2"/>
  <cols>
    <col min="1" max="1" width="24.7109375" style="2" customWidth="1"/>
    <col min="2" max="2" width="11.7109375" style="2" customWidth="1"/>
    <col min="3" max="3" width="9.7109375" style="2" customWidth="1"/>
    <col min="4" max="4" width="5.7109375" style="2" customWidth="1"/>
    <col min="5" max="5" width="9.7109375" style="2" customWidth="1"/>
    <col min="6" max="6" width="8.7109375" style="2" customWidth="1"/>
    <col min="7" max="7" width="10.7109375" style="2" customWidth="1"/>
    <col min="8" max="8" width="24.7109375" style="2" customWidth="1"/>
    <col min="9" max="10" width="10.7109375" style="2" customWidth="1"/>
    <col min="11" max="16" width="8.7109375" style="2" customWidth="1"/>
    <col min="17" max="17" width="11.7109375" style="2" customWidth="1"/>
    <col min="18" max="18" width="30.7109375" style="2" customWidth="1"/>
    <col min="19" max="19" width="55.7109375" style="2" customWidth="1"/>
    <col min="20" max="16384" width="9.140625" style="2"/>
  </cols>
  <sheetData>
    <row r="1" spans="1:19" ht="16.5" x14ac:dyDescent="0.25">
      <c r="A1" s="1" t="s">
        <v>0</v>
      </c>
    </row>
    <row r="2" spans="1:19" x14ac:dyDescent="0.2">
      <c r="A2" s="3" t="s">
        <v>1</v>
      </c>
    </row>
    <row r="4" spans="1:19" ht="32.1" customHeight="1" x14ac:dyDescent="0.2">
      <c r="A4" s="4" t="s">
        <v>2</v>
      </c>
      <c r="B4" s="4" t="s">
        <v>3</v>
      </c>
      <c r="C4" s="4" t="s">
        <v>4</v>
      </c>
      <c r="D4" s="4" t="s">
        <v>5</v>
      </c>
      <c r="E4" s="4" t="s">
        <v>6</v>
      </c>
      <c r="F4" s="4" t="s">
        <v>7</v>
      </c>
      <c r="G4" s="4" t="s">
        <v>8</v>
      </c>
      <c r="H4" s="4" t="s">
        <v>9</v>
      </c>
      <c r="I4" s="4" t="s">
        <v>10</v>
      </c>
      <c r="J4" s="4" t="s">
        <v>11</v>
      </c>
      <c r="K4" s="4" t="s">
        <v>12</v>
      </c>
      <c r="L4" s="4" t="s">
        <v>13</v>
      </c>
      <c r="M4" s="4" t="s">
        <v>14</v>
      </c>
      <c r="N4" s="4" t="s">
        <v>15</v>
      </c>
      <c r="O4" s="4" t="s">
        <v>16</v>
      </c>
      <c r="P4" s="4" t="s">
        <v>17</v>
      </c>
      <c r="Q4" s="4" t="s">
        <v>18</v>
      </c>
      <c r="R4" s="4" t="s">
        <v>19</v>
      </c>
      <c r="S4" s="4" t="s">
        <v>20</v>
      </c>
    </row>
    <row r="5" spans="1:19" ht="25.5" x14ac:dyDescent="0.2">
      <c r="A5" s="8" t="s">
        <v>21</v>
      </c>
      <c r="B5" s="8" t="s">
        <v>22</v>
      </c>
      <c r="C5" s="8" t="s">
        <v>23</v>
      </c>
      <c r="D5" s="8">
        <v>1</v>
      </c>
      <c r="E5" s="8">
        <v>1</v>
      </c>
      <c r="F5" s="8">
        <v>98</v>
      </c>
      <c r="G5" s="8">
        <v>98</v>
      </c>
      <c r="H5" s="8" t="s">
        <v>24</v>
      </c>
      <c r="I5" s="8">
        <v>20</v>
      </c>
      <c r="J5" s="8">
        <v>10</v>
      </c>
      <c r="K5" s="8">
        <f>$I5+$J5*(1-1)</f>
        <v>20</v>
      </c>
      <c r="L5" s="8">
        <f>$I5+$J5*(2-1)</f>
        <v>30</v>
      </c>
      <c r="M5" s="8">
        <f>$I5+$J5*(3-1)</f>
        <v>40</v>
      </c>
      <c r="N5" s="8">
        <f>$I5+$J5*(5-1)</f>
        <v>60</v>
      </c>
      <c r="O5" s="8">
        <f>$I5+$J5*(10-1)</f>
        <v>110</v>
      </c>
      <c r="P5" s="8">
        <f>$I5+$J5*(20-1)</f>
        <v>210</v>
      </c>
      <c r="Q5" s="8">
        <f>$I5+$J5*($G5-1)</f>
        <v>990</v>
      </c>
      <c r="R5" s="8" t="s">
        <v>25</v>
      </c>
      <c r="S5" s="8"/>
    </row>
    <row r="6" spans="1:19" ht="25.5" x14ac:dyDescent="0.2">
      <c r="A6" s="8" t="s">
        <v>26</v>
      </c>
      <c r="B6" s="8" t="s">
        <v>22</v>
      </c>
      <c r="C6" s="8" t="s">
        <v>23</v>
      </c>
      <c r="D6" s="8">
        <v>2</v>
      </c>
      <c r="E6" s="8">
        <v>6</v>
      </c>
      <c r="F6" s="8">
        <v>98</v>
      </c>
      <c r="G6" s="8">
        <v>94</v>
      </c>
      <c r="H6" s="8" t="s">
        <v>27</v>
      </c>
      <c r="I6" s="8">
        <v>2</v>
      </c>
      <c r="J6" s="8">
        <v>1</v>
      </c>
      <c r="K6" s="8">
        <f>$I6+$J6*(1-1)</f>
        <v>2</v>
      </c>
      <c r="L6" s="8">
        <f>$I6+$J6*(2-1)</f>
        <v>3</v>
      </c>
      <c r="M6" s="8">
        <f>$I6+$J6*(3-1)</f>
        <v>4</v>
      </c>
      <c r="N6" s="8">
        <f>$I6+$J6*(5-1)</f>
        <v>6</v>
      </c>
      <c r="O6" s="8">
        <f>$I6+$J6*(10-1)</f>
        <v>11</v>
      </c>
      <c r="P6" s="8">
        <f>$I6+$J6*(20-1)</f>
        <v>21</v>
      </c>
      <c r="Q6" s="8">
        <f>$I6+$J6*($G6-1)</f>
        <v>95</v>
      </c>
      <c r="R6" s="8" t="s">
        <v>25</v>
      </c>
      <c r="S6" s="8"/>
    </row>
    <row r="7" spans="1:19" ht="25.5" x14ac:dyDescent="0.2">
      <c r="A7" s="8" t="s">
        <v>26</v>
      </c>
      <c r="B7" s="8" t="s">
        <v>22</v>
      </c>
      <c r="C7" s="8" t="s">
        <v>23</v>
      </c>
      <c r="D7" s="8">
        <v>2</v>
      </c>
      <c r="E7" s="8">
        <v>6</v>
      </c>
      <c r="F7" s="8">
        <v>98</v>
      </c>
      <c r="G7" s="8">
        <v>94</v>
      </c>
      <c r="H7" s="8" t="s">
        <v>28</v>
      </c>
      <c r="I7" s="8">
        <v>6</v>
      </c>
      <c r="J7" s="8">
        <v>4</v>
      </c>
      <c r="K7" s="8">
        <f>$I7+$J7*(1-1)</f>
        <v>6</v>
      </c>
      <c r="L7" s="8">
        <f>$I7+$J7*(2-1)</f>
        <v>10</v>
      </c>
      <c r="M7" s="8">
        <f>$I7+$J7*(3-1)</f>
        <v>14</v>
      </c>
      <c r="N7" s="8">
        <f>$I7+$J7*(5-1)</f>
        <v>22</v>
      </c>
      <c r="O7" s="8">
        <f>$I7+$J7*(10-1)</f>
        <v>42</v>
      </c>
      <c r="P7" s="8">
        <f>$I7+$J7*(20-1)</f>
        <v>82</v>
      </c>
      <c r="Q7" s="8">
        <f>$I7+$J7*($G7-1)</f>
        <v>378</v>
      </c>
      <c r="R7" s="8" t="s">
        <v>25</v>
      </c>
      <c r="S7" s="8"/>
    </row>
    <row r="8" spans="1:19" ht="25.5" x14ac:dyDescent="0.2">
      <c r="A8" s="8" t="s">
        <v>29</v>
      </c>
      <c r="B8" s="8" t="s">
        <v>22</v>
      </c>
      <c r="C8" s="8" t="s">
        <v>23</v>
      </c>
      <c r="D8" s="8">
        <v>2</v>
      </c>
      <c r="E8" s="8">
        <v>6</v>
      </c>
      <c r="F8" s="8">
        <v>98</v>
      </c>
      <c r="G8" s="8">
        <v>94</v>
      </c>
      <c r="H8" s="8" t="s">
        <v>29</v>
      </c>
      <c r="I8" s="8" t="s">
        <v>30</v>
      </c>
      <c r="J8" s="8" t="s">
        <v>30</v>
      </c>
      <c r="K8" s="8" t="s">
        <v>31</v>
      </c>
      <c r="L8" s="8" t="s">
        <v>31</v>
      </c>
      <c r="M8" s="8" t="s">
        <v>31</v>
      </c>
      <c r="N8" s="8" t="s">
        <v>31</v>
      </c>
      <c r="O8" s="8" t="s">
        <v>31</v>
      </c>
      <c r="P8" s="8" t="s">
        <v>31</v>
      </c>
      <c r="Q8" s="8" t="s">
        <v>31</v>
      </c>
      <c r="R8" s="8" t="s">
        <v>25</v>
      </c>
      <c r="S8" s="8" t="s">
        <v>32</v>
      </c>
    </row>
    <row r="9" spans="1:19" ht="25.5" x14ac:dyDescent="0.2">
      <c r="A9" s="8" t="s">
        <v>33</v>
      </c>
      <c r="B9" s="8" t="s">
        <v>22</v>
      </c>
      <c r="C9" s="8" t="s">
        <v>23</v>
      </c>
      <c r="D9" s="8">
        <v>3</v>
      </c>
      <c r="E9" s="8">
        <v>12</v>
      </c>
      <c r="F9" s="8">
        <v>98</v>
      </c>
      <c r="G9" s="8">
        <v>88</v>
      </c>
      <c r="H9" s="8" t="s">
        <v>34</v>
      </c>
      <c r="I9" s="8">
        <v>15</v>
      </c>
      <c r="J9" s="8">
        <v>7</v>
      </c>
      <c r="K9" s="8">
        <f>$I9+$J9*(1-1)</f>
        <v>15</v>
      </c>
      <c r="L9" s="8">
        <f>$I9+$J9*(2-1)</f>
        <v>22</v>
      </c>
      <c r="M9" s="8">
        <f>$I9+$J9*(3-1)</f>
        <v>29</v>
      </c>
      <c r="N9" s="8">
        <f>$I9+$J9*(5-1)</f>
        <v>43</v>
      </c>
      <c r="O9" s="8">
        <f>$I9+$J9*(10-1)</f>
        <v>78</v>
      </c>
      <c r="P9" s="8">
        <f>$I9+$J9*(20-1)</f>
        <v>148</v>
      </c>
      <c r="Q9" s="8">
        <f>$I9+$J9*($G9-1)</f>
        <v>624</v>
      </c>
      <c r="R9" s="8" t="s">
        <v>25</v>
      </c>
      <c r="S9" s="8"/>
    </row>
    <row r="10" spans="1:19" ht="25.5" x14ac:dyDescent="0.2">
      <c r="A10" s="8" t="s">
        <v>35</v>
      </c>
      <c r="B10" s="8" t="s">
        <v>22</v>
      </c>
      <c r="C10" s="8" t="s">
        <v>23</v>
      </c>
      <c r="D10" s="8">
        <v>4</v>
      </c>
      <c r="E10" s="8">
        <v>18</v>
      </c>
      <c r="F10" s="8">
        <v>98</v>
      </c>
      <c r="G10" s="8">
        <v>82</v>
      </c>
      <c r="H10" s="8" t="s">
        <v>24</v>
      </c>
      <c r="I10" s="8">
        <v>15</v>
      </c>
      <c r="J10" s="8">
        <v>8</v>
      </c>
      <c r="K10" s="8">
        <f>$I10+$J10*(1-1)</f>
        <v>15</v>
      </c>
      <c r="L10" s="8">
        <f>$I10+$J10*(2-1)</f>
        <v>23</v>
      </c>
      <c r="M10" s="8">
        <f>$I10+$J10*(3-1)</f>
        <v>31</v>
      </c>
      <c r="N10" s="8">
        <f>$I10+$J10*(5-1)</f>
        <v>47</v>
      </c>
      <c r="O10" s="8">
        <f>$I10+$J10*(10-1)</f>
        <v>87</v>
      </c>
      <c r="P10" s="8">
        <f>$I10+$J10*(20-1)</f>
        <v>167</v>
      </c>
      <c r="Q10" s="8">
        <f>$I10+$J10*($G10-1)</f>
        <v>663</v>
      </c>
      <c r="R10" s="8" t="s">
        <v>25</v>
      </c>
      <c r="S10" s="8"/>
    </row>
    <row r="11" spans="1:19" ht="25.5" x14ac:dyDescent="0.2">
      <c r="A11" s="8" t="s">
        <v>35</v>
      </c>
      <c r="B11" s="8" t="s">
        <v>22</v>
      </c>
      <c r="C11" s="8" t="s">
        <v>23</v>
      </c>
      <c r="D11" s="8">
        <v>4</v>
      </c>
      <c r="E11" s="8">
        <v>18</v>
      </c>
      <c r="F11" s="8">
        <v>98</v>
      </c>
      <c r="G11" s="8">
        <v>82</v>
      </c>
      <c r="H11" s="8" t="s">
        <v>36</v>
      </c>
      <c r="I11" s="8" t="s">
        <v>30</v>
      </c>
      <c r="J11" s="8" t="s">
        <v>30</v>
      </c>
      <c r="K11" s="8" t="s">
        <v>31</v>
      </c>
      <c r="L11" s="8" t="s">
        <v>31</v>
      </c>
      <c r="M11" s="8" t="s">
        <v>31</v>
      </c>
      <c r="N11" s="8" t="s">
        <v>31</v>
      </c>
      <c r="O11" s="8" t="s">
        <v>31</v>
      </c>
      <c r="P11" s="8" t="s">
        <v>31</v>
      </c>
      <c r="Q11" s="8" t="s">
        <v>31</v>
      </c>
      <c r="R11" s="8" t="s">
        <v>25</v>
      </c>
      <c r="S11" s="8" t="s">
        <v>32</v>
      </c>
    </row>
    <row r="12" spans="1:19" ht="25.5" x14ac:dyDescent="0.2">
      <c r="A12" s="8" t="s">
        <v>37</v>
      </c>
      <c r="B12" s="8" t="s">
        <v>22</v>
      </c>
      <c r="C12" s="8" t="s">
        <v>23</v>
      </c>
      <c r="D12" s="8">
        <v>5</v>
      </c>
      <c r="E12" s="8">
        <v>24</v>
      </c>
      <c r="F12" s="8">
        <v>98</v>
      </c>
      <c r="G12" s="8">
        <v>76</v>
      </c>
      <c r="H12" s="8" t="s">
        <v>38</v>
      </c>
      <c r="I12" s="8">
        <v>1</v>
      </c>
      <c r="J12" s="8">
        <v>0</v>
      </c>
      <c r="K12" s="8">
        <f>$I12+$J12*(1-1)</f>
        <v>1</v>
      </c>
      <c r="L12" s="8">
        <f>$I12+$J12*(2-1)</f>
        <v>1</v>
      </c>
      <c r="M12" s="8">
        <f>$I12+$J12*(3-1)</f>
        <v>1</v>
      </c>
      <c r="N12" s="8">
        <f>$I12+$J12*(5-1)</f>
        <v>1</v>
      </c>
      <c r="O12" s="8">
        <f>$I12+$J12*(10-1)</f>
        <v>1</v>
      </c>
      <c r="P12" s="8">
        <f>$I12+$J12*(20-1)</f>
        <v>1</v>
      </c>
      <c r="Q12" s="8">
        <f>$I12+$J12*($G12-1)</f>
        <v>1</v>
      </c>
      <c r="R12" s="8" t="s">
        <v>25</v>
      </c>
      <c r="S12" s="8" t="s">
        <v>39</v>
      </c>
    </row>
    <row r="13" spans="1:19" ht="25.5" x14ac:dyDescent="0.2">
      <c r="A13" s="8" t="s">
        <v>37</v>
      </c>
      <c r="B13" s="8" t="s">
        <v>22</v>
      </c>
      <c r="C13" s="8" t="s">
        <v>23</v>
      </c>
      <c r="D13" s="8">
        <v>5</v>
      </c>
      <c r="E13" s="8">
        <v>24</v>
      </c>
      <c r="F13" s="8">
        <v>98</v>
      </c>
      <c r="G13" s="8">
        <v>76</v>
      </c>
      <c r="H13" s="8" t="s">
        <v>40</v>
      </c>
      <c r="I13" s="8">
        <v>10</v>
      </c>
      <c r="J13" s="8">
        <v>6</v>
      </c>
      <c r="K13" s="8">
        <f>$I13+$J13*(1-1)</f>
        <v>10</v>
      </c>
      <c r="L13" s="8">
        <f>$I13+$J13*(2-1)</f>
        <v>16</v>
      </c>
      <c r="M13" s="8">
        <f>$I13+$J13*(3-1)</f>
        <v>22</v>
      </c>
      <c r="N13" s="8">
        <f>$I13+$J13*(5-1)</f>
        <v>34</v>
      </c>
      <c r="O13" s="8">
        <f>$I13+$J13*(10-1)</f>
        <v>64</v>
      </c>
      <c r="P13" s="8">
        <f>$I13+$J13*(20-1)</f>
        <v>124</v>
      </c>
      <c r="Q13" s="8">
        <f>$I13+$J13*($G13-1)</f>
        <v>460</v>
      </c>
      <c r="R13" s="8" t="s">
        <v>25</v>
      </c>
      <c r="S13" s="8"/>
    </row>
    <row r="14" spans="1:19" ht="25.5" x14ac:dyDescent="0.2">
      <c r="A14" s="8" t="s">
        <v>41</v>
      </c>
      <c r="B14" s="8" t="s">
        <v>22</v>
      </c>
      <c r="C14" s="8" t="s">
        <v>23</v>
      </c>
      <c r="D14" s="8">
        <v>5</v>
      </c>
      <c r="E14" s="8">
        <v>24</v>
      </c>
      <c r="F14" s="8">
        <v>98</v>
      </c>
      <c r="G14" s="8">
        <v>76</v>
      </c>
      <c r="H14" s="8" t="s">
        <v>42</v>
      </c>
      <c r="I14" s="8" t="s">
        <v>30</v>
      </c>
      <c r="J14" s="8" t="s">
        <v>30</v>
      </c>
      <c r="K14" s="8" t="s">
        <v>31</v>
      </c>
      <c r="L14" s="8" t="s">
        <v>31</v>
      </c>
      <c r="M14" s="8" t="s">
        <v>31</v>
      </c>
      <c r="N14" s="8" t="s">
        <v>31</v>
      </c>
      <c r="O14" s="8" t="s">
        <v>31</v>
      </c>
      <c r="P14" s="8" t="s">
        <v>31</v>
      </c>
      <c r="Q14" s="8" t="s">
        <v>31</v>
      </c>
      <c r="R14" s="8" t="s">
        <v>25</v>
      </c>
      <c r="S14" s="8" t="s">
        <v>43</v>
      </c>
    </row>
    <row r="15" spans="1:19" ht="25.5" x14ac:dyDescent="0.2">
      <c r="A15" s="8" t="s">
        <v>44</v>
      </c>
      <c r="B15" s="8" t="s">
        <v>22</v>
      </c>
      <c r="C15" s="8" t="s">
        <v>23</v>
      </c>
      <c r="D15" s="8">
        <v>6</v>
      </c>
      <c r="E15" s="8">
        <v>30</v>
      </c>
      <c r="F15" s="8">
        <v>98</v>
      </c>
      <c r="G15" s="8">
        <v>70</v>
      </c>
      <c r="H15" s="8" t="s">
        <v>34</v>
      </c>
      <c r="I15" s="8">
        <v>10</v>
      </c>
      <c r="J15" s="8">
        <v>5</v>
      </c>
      <c r="K15" s="8">
        <f>$I15+$J15*(1-1)</f>
        <v>10</v>
      </c>
      <c r="L15" s="8">
        <f>$I15+$J15*(2-1)</f>
        <v>15</v>
      </c>
      <c r="M15" s="8">
        <f>$I15+$J15*(3-1)</f>
        <v>20</v>
      </c>
      <c r="N15" s="8">
        <f>$I15+$J15*(5-1)</f>
        <v>30</v>
      </c>
      <c r="O15" s="8">
        <f>$I15+$J15*(10-1)</f>
        <v>55</v>
      </c>
      <c r="P15" s="8">
        <f>$I15+$J15*(20-1)</f>
        <v>105</v>
      </c>
      <c r="Q15" s="8">
        <f>$I15+$J15*($G15-1)</f>
        <v>355</v>
      </c>
      <c r="R15" s="8" t="s">
        <v>25</v>
      </c>
      <c r="S15" s="8"/>
    </row>
    <row r="16" spans="1:19" ht="25.5" x14ac:dyDescent="0.2">
      <c r="A16" s="8" t="s">
        <v>44</v>
      </c>
      <c r="B16" s="8" t="s">
        <v>22</v>
      </c>
      <c r="C16" s="8" t="s">
        <v>23</v>
      </c>
      <c r="D16" s="8">
        <v>6</v>
      </c>
      <c r="E16" s="8">
        <v>30</v>
      </c>
      <c r="F16" s="8">
        <v>98</v>
      </c>
      <c r="G16" s="8">
        <v>70</v>
      </c>
      <c r="H16" s="8" t="s">
        <v>24</v>
      </c>
      <c r="I16" s="8">
        <v>10</v>
      </c>
      <c r="J16" s="8">
        <v>5</v>
      </c>
      <c r="K16" s="8">
        <f>$I16+$J16*(1-1)</f>
        <v>10</v>
      </c>
      <c r="L16" s="8">
        <f>$I16+$J16*(2-1)</f>
        <v>15</v>
      </c>
      <c r="M16" s="8">
        <f>$I16+$J16*(3-1)</f>
        <v>20</v>
      </c>
      <c r="N16" s="8">
        <f>$I16+$J16*(5-1)</f>
        <v>30</v>
      </c>
      <c r="O16" s="8">
        <f>$I16+$J16*(10-1)</f>
        <v>55</v>
      </c>
      <c r="P16" s="8">
        <f>$I16+$J16*(20-1)</f>
        <v>105</v>
      </c>
      <c r="Q16" s="8">
        <f>$I16+$J16*($G16-1)</f>
        <v>355</v>
      </c>
      <c r="R16" s="8" t="s">
        <v>25</v>
      </c>
      <c r="S16" s="8"/>
    </row>
    <row r="17" spans="1:19" ht="25.5" x14ac:dyDescent="0.2">
      <c r="A17" s="8" t="s">
        <v>44</v>
      </c>
      <c r="B17" s="8" t="s">
        <v>22</v>
      </c>
      <c r="C17" s="8" t="s">
        <v>23</v>
      </c>
      <c r="D17" s="8">
        <v>6</v>
      </c>
      <c r="E17" s="8">
        <v>30</v>
      </c>
      <c r="F17" s="8">
        <v>98</v>
      </c>
      <c r="G17" s="8">
        <v>70</v>
      </c>
      <c r="H17" s="8" t="s">
        <v>45</v>
      </c>
      <c r="I17" s="8" t="s">
        <v>30</v>
      </c>
      <c r="J17" s="8" t="s">
        <v>30</v>
      </c>
      <c r="K17" s="8" t="s">
        <v>31</v>
      </c>
      <c r="L17" s="8" t="s">
        <v>31</v>
      </c>
      <c r="M17" s="8" t="s">
        <v>31</v>
      </c>
      <c r="N17" s="8" t="s">
        <v>31</v>
      </c>
      <c r="O17" s="8" t="s">
        <v>31</v>
      </c>
      <c r="P17" s="8" t="s">
        <v>31</v>
      </c>
      <c r="Q17" s="8" t="s">
        <v>31</v>
      </c>
      <c r="R17" s="8" t="s">
        <v>25</v>
      </c>
      <c r="S17" s="8" t="s">
        <v>32</v>
      </c>
    </row>
    <row r="18" spans="1:19" ht="25.5" x14ac:dyDescent="0.2">
      <c r="A18" s="8" t="s">
        <v>46</v>
      </c>
      <c r="B18" s="8" t="s">
        <v>22</v>
      </c>
      <c r="C18" s="8" t="s">
        <v>23</v>
      </c>
      <c r="D18" s="8">
        <v>6</v>
      </c>
      <c r="E18" s="8">
        <v>30</v>
      </c>
      <c r="F18" s="8">
        <v>98</v>
      </c>
      <c r="G18" s="8">
        <v>70</v>
      </c>
      <c r="H18" s="8" t="s">
        <v>47</v>
      </c>
      <c r="I18" s="8" t="s">
        <v>30</v>
      </c>
      <c r="J18" s="8" t="s">
        <v>30</v>
      </c>
      <c r="K18" s="8" t="s">
        <v>31</v>
      </c>
      <c r="L18" s="8" t="s">
        <v>31</v>
      </c>
      <c r="M18" s="8" t="s">
        <v>31</v>
      </c>
      <c r="N18" s="8" t="s">
        <v>31</v>
      </c>
      <c r="O18" s="8" t="s">
        <v>31</v>
      </c>
      <c r="P18" s="8" t="s">
        <v>31</v>
      </c>
      <c r="Q18" s="8" t="s">
        <v>31</v>
      </c>
      <c r="R18" s="8" t="s">
        <v>25</v>
      </c>
      <c r="S18" s="8" t="s">
        <v>48</v>
      </c>
    </row>
    <row r="19" spans="1:19" ht="25.5" x14ac:dyDescent="0.2">
      <c r="A19" s="8" t="s">
        <v>49</v>
      </c>
      <c r="B19" s="8" t="s">
        <v>22</v>
      </c>
      <c r="C19" s="8" t="s">
        <v>23</v>
      </c>
      <c r="D19" s="8">
        <v>1</v>
      </c>
      <c r="E19" s="8">
        <v>1</v>
      </c>
      <c r="F19" s="8">
        <v>98</v>
      </c>
      <c r="G19" s="8">
        <v>98</v>
      </c>
      <c r="H19" s="8" t="s">
        <v>50</v>
      </c>
      <c r="I19" s="8">
        <v>2</v>
      </c>
      <c r="J19" s="8">
        <v>2</v>
      </c>
      <c r="K19" s="8">
        <f>$I19+$J19*(1-1)</f>
        <v>2</v>
      </c>
      <c r="L19" s="8">
        <f>$I19+$J19*(2-1)</f>
        <v>4</v>
      </c>
      <c r="M19" s="8">
        <f>$I19+$J19*(3-1)</f>
        <v>6</v>
      </c>
      <c r="N19" s="8">
        <f>$I19+$J19*(5-1)</f>
        <v>10</v>
      </c>
      <c r="O19" s="8">
        <f>$I19+$J19*(10-1)</f>
        <v>20</v>
      </c>
      <c r="P19" s="8">
        <f>$I19+$J19*(20-1)</f>
        <v>40</v>
      </c>
      <c r="Q19" s="8">
        <f>$I19+$J19*($G19-1)</f>
        <v>196</v>
      </c>
      <c r="R19" s="8" t="s">
        <v>25</v>
      </c>
      <c r="S19" s="8" t="s">
        <v>51</v>
      </c>
    </row>
    <row r="20" spans="1:19" ht="25.5" x14ac:dyDescent="0.2">
      <c r="A20" s="8" t="s">
        <v>52</v>
      </c>
      <c r="B20" s="8" t="s">
        <v>22</v>
      </c>
      <c r="C20" s="8" t="s">
        <v>23</v>
      </c>
      <c r="D20" s="8">
        <v>1</v>
      </c>
      <c r="E20" s="8">
        <v>1</v>
      </c>
      <c r="F20" s="8">
        <v>98</v>
      </c>
      <c r="G20" s="8">
        <v>98</v>
      </c>
      <c r="H20" s="8" t="s">
        <v>53</v>
      </c>
      <c r="I20" s="8">
        <v>15</v>
      </c>
      <c r="J20" s="8">
        <v>4</v>
      </c>
      <c r="K20" s="8">
        <f>$I20+$J20*(1-1)</f>
        <v>15</v>
      </c>
      <c r="L20" s="8">
        <f>$I20+$J20*(2-1)</f>
        <v>19</v>
      </c>
      <c r="M20" s="8">
        <f>$I20+$J20*(3-1)</f>
        <v>23</v>
      </c>
      <c r="N20" s="8">
        <f>$I20+$J20*(5-1)</f>
        <v>31</v>
      </c>
      <c r="O20" s="8">
        <f>$I20+$J20*(10-1)</f>
        <v>51</v>
      </c>
      <c r="P20" s="8">
        <f>$I20+$J20*(20-1)</f>
        <v>91</v>
      </c>
      <c r="Q20" s="8">
        <f>$I20+$J20*($G20-1)</f>
        <v>403</v>
      </c>
      <c r="R20" s="8" t="s">
        <v>25</v>
      </c>
      <c r="S20" s="8"/>
    </row>
    <row r="21" spans="1:19" ht="25.5" x14ac:dyDescent="0.2">
      <c r="A21" s="8" t="s">
        <v>54</v>
      </c>
      <c r="B21" s="8" t="s">
        <v>22</v>
      </c>
      <c r="C21" s="8" t="s">
        <v>23</v>
      </c>
      <c r="D21" s="8">
        <v>2</v>
      </c>
      <c r="E21" s="8">
        <v>6</v>
      </c>
      <c r="F21" s="8">
        <v>98</v>
      </c>
      <c r="G21" s="8">
        <v>94</v>
      </c>
      <c r="H21" s="8" t="s">
        <v>55</v>
      </c>
      <c r="I21" s="8">
        <v>25</v>
      </c>
      <c r="J21" s="8">
        <v>12</v>
      </c>
      <c r="K21" s="8">
        <f>$I21+$J21*(1-1)</f>
        <v>25</v>
      </c>
      <c r="L21" s="8">
        <f>$I21+$J21*(2-1)</f>
        <v>37</v>
      </c>
      <c r="M21" s="8">
        <f>$I21+$J21*(3-1)</f>
        <v>49</v>
      </c>
      <c r="N21" s="8">
        <f>$I21+$J21*(5-1)</f>
        <v>73</v>
      </c>
      <c r="O21" s="8">
        <f>$I21+$J21*(10-1)</f>
        <v>133</v>
      </c>
      <c r="P21" s="8">
        <f>$I21+$J21*(20-1)</f>
        <v>253</v>
      </c>
      <c r="Q21" s="8">
        <f>$I21+$J21*($G21-1)</f>
        <v>1141</v>
      </c>
      <c r="R21" s="8" t="s">
        <v>25</v>
      </c>
      <c r="S21" s="8"/>
    </row>
    <row r="22" spans="1:19" ht="25.5" x14ac:dyDescent="0.2">
      <c r="A22" s="8" t="s">
        <v>56</v>
      </c>
      <c r="B22" s="8" t="s">
        <v>22</v>
      </c>
      <c r="C22" s="8" t="s">
        <v>23</v>
      </c>
      <c r="D22" s="8">
        <v>2</v>
      </c>
      <c r="E22" s="8">
        <v>6</v>
      </c>
      <c r="F22" s="8">
        <v>98</v>
      </c>
      <c r="G22" s="8">
        <v>94</v>
      </c>
      <c r="H22" s="8" t="s">
        <v>57</v>
      </c>
      <c r="I22" s="8">
        <v>15</v>
      </c>
      <c r="J22" s="8">
        <v>4</v>
      </c>
      <c r="K22" s="8">
        <f>$I22+$J22*(1-1)</f>
        <v>15</v>
      </c>
      <c r="L22" s="8">
        <f>$I22+$J22*(2-1)</f>
        <v>19</v>
      </c>
      <c r="M22" s="8">
        <f>$I22+$J22*(3-1)</f>
        <v>23</v>
      </c>
      <c r="N22" s="8">
        <f>$I22+$J22*(5-1)</f>
        <v>31</v>
      </c>
      <c r="O22" s="8">
        <f>$I22+$J22*(10-1)</f>
        <v>51</v>
      </c>
      <c r="P22" s="8">
        <f>$I22+$J22*(20-1)</f>
        <v>91</v>
      </c>
      <c r="Q22" s="8">
        <f>$I22+$J22*($G22-1)</f>
        <v>387</v>
      </c>
      <c r="R22" s="8" t="s">
        <v>25</v>
      </c>
      <c r="S22" s="8" t="s">
        <v>58</v>
      </c>
    </row>
    <row r="23" spans="1:19" ht="25.5" x14ac:dyDescent="0.2">
      <c r="A23" s="8" t="s">
        <v>59</v>
      </c>
      <c r="B23" s="8" t="s">
        <v>22</v>
      </c>
      <c r="C23" s="8" t="s">
        <v>23</v>
      </c>
      <c r="D23" s="8">
        <v>3</v>
      </c>
      <c r="E23" s="8">
        <v>12</v>
      </c>
      <c r="F23" s="8">
        <v>98</v>
      </c>
      <c r="G23" s="8">
        <v>88</v>
      </c>
      <c r="H23" s="8" t="s">
        <v>60</v>
      </c>
      <c r="I23" s="8">
        <v>15</v>
      </c>
      <c r="J23" s="8">
        <v>4</v>
      </c>
      <c r="K23" s="8">
        <f>$I23+$J23*(1-1)</f>
        <v>15</v>
      </c>
      <c r="L23" s="8">
        <f>$I23+$J23*(2-1)</f>
        <v>19</v>
      </c>
      <c r="M23" s="8">
        <f>$I23+$J23*(3-1)</f>
        <v>23</v>
      </c>
      <c r="N23" s="8">
        <f>$I23+$J23*(5-1)</f>
        <v>31</v>
      </c>
      <c r="O23" s="8">
        <f>$I23+$J23*(10-1)</f>
        <v>51</v>
      </c>
      <c r="P23" s="8">
        <f>$I23+$J23*(20-1)</f>
        <v>91</v>
      </c>
      <c r="Q23" s="8">
        <f>$I23+$J23*($G23-1)</f>
        <v>363</v>
      </c>
      <c r="R23" s="8" t="s">
        <v>25</v>
      </c>
      <c r="S23" s="8"/>
    </row>
    <row r="24" spans="1:19" ht="25.5" x14ac:dyDescent="0.2">
      <c r="A24" s="8" t="s">
        <v>61</v>
      </c>
      <c r="B24" s="8" t="s">
        <v>22</v>
      </c>
      <c r="C24" s="8" t="s">
        <v>23</v>
      </c>
      <c r="D24" s="8">
        <v>4</v>
      </c>
      <c r="E24" s="8">
        <v>18</v>
      </c>
      <c r="F24" s="8">
        <v>98</v>
      </c>
      <c r="G24" s="8">
        <v>82</v>
      </c>
      <c r="H24" s="8" t="s">
        <v>62</v>
      </c>
      <c r="I24" s="8" t="s">
        <v>30</v>
      </c>
      <c r="J24" s="8" t="s">
        <v>30</v>
      </c>
      <c r="K24" s="8" t="s">
        <v>31</v>
      </c>
      <c r="L24" s="8" t="s">
        <v>31</v>
      </c>
      <c r="M24" s="8" t="s">
        <v>31</v>
      </c>
      <c r="N24" s="8" t="s">
        <v>31</v>
      </c>
      <c r="O24" s="8" t="s">
        <v>31</v>
      </c>
      <c r="P24" s="8" t="s">
        <v>31</v>
      </c>
      <c r="Q24" s="8" t="s">
        <v>31</v>
      </c>
      <c r="R24" s="8" t="s">
        <v>25</v>
      </c>
      <c r="S24" s="8" t="s">
        <v>63</v>
      </c>
    </row>
    <row r="25" spans="1:19" ht="25.5" x14ac:dyDescent="0.2">
      <c r="A25" s="8" t="s">
        <v>64</v>
      </c>
      <c r="B25" s="8" t="s">
        <v>22</v>
      </c>
      <c r="C25" s="8" t="s">
        <v>23</v>
      </c>
      <c r="D25" s="8">
        <v>5</v>
      </c>
      <c r="E25" s="8">
        <v>24</v>
      </c>
      <c r="F25" s="8">
        <v>98</v>
      </c>
      <c r="G25" s="8">
        <v>76</v>
      </c>
      <c r="H25" s="8" t="s">
        <v>65</v>
      </c>
      <c r="I25" s="8">
        <v>2</v>
      </c>
      <c r="J25" s="8">
        <v>2</v>
      </c>
      <c r="K25" s="8">
        <f>$I25+$J25*(1-1)</f>
        <v>2</v>
      </c>
      <c r="L25" s="8">
        <f>$I25+$J25*(2-1)</f>
        <v>4</v>
      </c>
      <c r="M25" s="8">
        <f>$I25+$J25*(3-1)</f>
        <v>6</v>
      </c>
      <c r="N25" s="8">
        <f>$I25+$J25*(5-1)</f>
        <v>10</v>
      </c>
      <c r="O25" s="8">
        <f>$I25+$J25*(10-1)</f>
        <v>20</v>
      </c>
      <c r="P25" s="8">
        <f>$I25+$J25*(20-1)</f>
        <v>40</v>
      </c>
      <c r="Q25" s="8">
        <f>$I25+$J25*($G25-1)</f>
        <v>152</v>
      </c>
      <c r="R25" s="8" t="s">
        <v>25</v>
      </c>
      <c r="S25" s="8" t="s">
        <v>66</v>
      </c>
    </row>
    <row r="26" spans="1:19" ht="25.5" x14ac:dyDescent="0.2">
      <c r="A26" s="8" t="s">
        <v>67</v>
      </c>
      <c r="B26" s="8" t="s">
        <v>22</v>
      </c>
      <c r="C26" s="8" t="s">
        <v>23</v>
      </c>
      <c r="D26" s="8">
        <v>6</v>
      </c>
      <c r="E26" s="8">
        <v>30</v>
      </c>
      <c r="F26" s="8">
        <v>98</v>
      </c>
      <c r="G26" s="8">
        <v>70</v>
      </c>
      <c r="H26" s="8" t="s">
        <v>53</v>
      </c>
      <c r="I26" s="8">
        <v>10</v>
      </c>
      <c r="J26" s="8">
        <v>3</v>
      </c>
      <c r="K26" s="8">
        <f>$I26+$J26*(1-1)</f>
        <v>10</v>
      </c>
      <c r="L26" s="8">
        <f>$I26+$J26*(2-1)</f>
        <v>13</v>
      </c>
      <c r="M26" s="8">
        <f>$I26+$J26*(3-1)</f>
        <v>16</v>
      </c>
      <c r="N26" s="8">
        <f>$I26+$J26*(5-1)</f>
        <v>22</v>
      </c>
      <c r="O26" s="8">
        <f>$I26+$J26*(10-1)</f>
        <v>37</v>
      </c>
      <c r="P26" s="8">
        <f>$I26+$J26*(20-1)</f>
        <v>67</v>
      </c>
      <c r="Q26" s="8">
        <f>$I26+$J26*($G26-1)</f>
        <v>217</v>
      </c>
      <c r="R26" s="8" t="s">
        <v>25</v>
      </c>
      <c r="S26" s="8"/>
    </row>
    <row r="27" spans="1:19" ht="25.5" x14ac:dyDescent="0.2">
      <c r="A27" s="8" t="s">
        <v>67</v>
      </c>
      <c r="B27" s="8" t="s">
        <v>22</v>
      </c>
      <c r="C27" s="8" t="s">
        <v>23</v>
      </c>
      <c r="D27" s="8">
        <v>6</v>
      </c>
      <c r="E27" s="8">
        <v>30</v>
      </c>
      <c r="F27" s="8">
        <v>98</v>
      </c>
      <c r="G27" s="8">
        <v>70</v>
      </c>
      <c r="H27" s="8" t="s">
        <v>60</v>
      </c>
      <c r="I27" s="8">
        <v>10</v>
      </c>
      <c r="J27" s="8">
        <v>3</v>
      </c>
      <c r="K27" s="8">
        <f>$I27+$J27*(1-1)</f>
        <v>10</v>
      </c>
      <c r="L27" s="8">
        <f>$I27+$J27*(2-1)</f>
        <v>13</v>
      </c>
      <c r="M27" s="8">
        <f>$I27+$J27*(3-1)</f>
        <v>16</v>
      </c>
      <c r="N27" s="8">
        <f>$I27+$J27*(5-1)</f>
        <v>22</v>
      </c>
      <c r="O27" s="8">
        <f>$I27+$J27*(10-1)</f>
        <v>37</v>
      </c>
      <c r="P27" s="8">
        <f>$I27+$J27*(20-1)</f>
        <v>67</v>
      </c>
      <c r="Q27" s="8">
        <f>$I27+$J27*($G27-1)</f>
        <v>217</v>
      </c>
      <c r="R27" s="8" t="s">
        <v>25</v>
      </c>
      <c r="S27" s="8"/>
    </row>
    <row r="28" spans="1:19" ht="25.5" x14ac:dyDescent="0.2">
      <c r="A28" s="8" t="s">
        <v>67</v>
      </c>
      <c r="B28" s="8" t="s">
        <v>22</v>
      </c>
      <c r="C28" s="8" t="s">
        <v>23</v>
      </c>
      <c r="D28" s="8">
        <v>6</v>
      </c>
      <c r="E28" s="8">
        <v>30</v>
      </c>
      <c r="F28" s="8">
        <v>98</v>
      </c>
      <c r="G28" s="8">
        <v>70</v>
      </c>
      <c r="H28" s="8" t="s">
        <v>57</v>
      </c>
      <c r="I28" s="8">
        <v>10</v>
      </c>
      <c r="J28" s="8">
        <v>3</v>
      </c>
      <c r="K28" s="8">
        <f>$I28+$J28*(1-1)</f>
        <v>10</v>
      </c>
      <c r="L28" s="8">
        <f>$I28+$J28*(2-1)</f>
        <v>13</v>
      </c>
      <c r="M28" s="8">
        <f>$I28+$J28*(3-1)</f>
        <v>16</v>
      </c>
      <c r="N28" s="8">
        <f>$I28+$J28*(5-1)</f>
        <v>22</v>
      </c>
      <c r="O28" s="8">
        <f>$I28+$J28*(10-1)</f>
        <v>37</v>
      </c>
      <c r="P28" s="8">
        <f>$I28+$J28*(20-1)</f>
        <v>67</v>
      </c>
      <c r="Q28" s="8">
        <f>$I28+$J28*($G28-1)</f>
        <v>217</v>
      </c>
      <c r="R28" s="8" t="s">
        <v>25</v>
      </c>
      <c r="S28" s="8"/>
    </row>
    <row r="29" spans="1:19" x14ac:dyDescent="0.2">
      <c r="A29" s="8" t="s">
        <v>68</v>
      </c>
      <c r="B29" s="8" t="s">
        <v>69</v>
      </c>
      <c r="C29" s="8" t="s">
        <v>70</v>
      </c>
      <c r="D29" s="8">
        <v>1</v>
      </c>
      <c r="E29" s="8">
        <v>1</v>
      </c>
      <c r="F29" s="8">
        <v>98</v>
      </c>
      <c r="G29" s="8">
        <v>98</v>
      </c>
      <c r="H29" s="8" t="s">
        <v>34</v>
      </c>
      <c r="I29" s="8">
        <v>10</v>
      </c>
      <c r="J29" s="8">
        <v>5</v>
      </c>
      <c r="K29" s="8">
        <f>$I29+$J29*(1-1)</f>
        <v>10</v>
      </c>
      <c r="L29" s="8">
        <f>$I29+$J29*(2-1)</f>
        <v>15</v>
      </c>
      <c r="M29" s="8">
        <f>$I29+$J29*(3-1)</f>
        <v>20</v>
      </c>
      <c r="N29" s="8">
        <f>$I29+$J29*(5-1)</f>
        <v>30</v>
      </c>
      <c r="O29" s="8">
        <f>$I29+$J29*(10-1)</f>
        <v>55</v>
      </c>
      <c r="P29" s="8">
        <f>$I29+$J29*(20-1)</f>
        <v>105</v>
      </c>
      <c r="Q29" s="8">
        <f>$I29+$J29*($G29-1)</f>
        <v>495</v>
      </c>
      <c r="R29" s="8" t="s">
        <v>31</v>
      </c>
      <c r="S29" s="8" t="s">
        <v>71</v>
      </c>
    </row>
    <row r="30" spans="1:19" x14ac:dyDescent="0.2">
      <c r="A30" s="8" t="s">
        <v>68</v>
      </c>
      <c r="B30" s="8" t="s">
        <v>69</v>
      </c>
      <c r="C30" s="8" t="s">
        <v>70</v>
      </c>
      <c r="D30" s="8">
        <v>1</v>
      </c>
      <c r="E30" s="8">
        <v>1</v>
      </c>
      <c r="F30" s="8">
        <v>98</v>
      </c>
      <c r="G30" s="8">
        <v>98</v>
      </c>
      <c r="H30" s="8" t="s">
        <v>24</v>
      </c>
      <c r="I30" s="8">
        <v>10</v>
      </c>
      <c r="J30" s="8">
        <v>6</v>
      </c>
      <c r="K30" s="8">
        <f>$I30+$J30*(1-1)</f>
        <v>10</v>
      </c>
      <c r="L30" s="8">
        <f>$I30+$J30*(2-1)</f>
        <v>16</v>
      </c>
      <c r="M30" s="8">
        <f>$I30+$J30*(3-1)</f>
        <v>22</v>
      </c>
      <c r="N30" s="8">
        <f>$I30+$J30*(5-1)</f>
        <v>34</v>
      </c>
      <c r="O30" s="8">
        <f>$I30+$J30*(10-1)</f>
        <v>64</v>
      </c>
      <c r="P30" s="8">
        <f>$I30+$J30*(20-1)</f>
        <v>124</v>
      </c>
      <c r="Q30" s="8">
        <f>$I30+$J30*($G30-1)</f>
        <v>592</v>
      </c>
      <c r="R30" s="8" t="s">
        <v>31</v>
      </c>
      <c r="S30" s="8" t="s">
        <v>71</v>
      </c>
    </row>
    <row r="31" spans="1:19" x14ac:dyDescent="0.2">
      <c r="A31" s="8" t="s">
        <v>72</v>
      </c>
      <c r="B31" s="8" t="s">
        <v>69</v>
      </c>
      <c r="C31" s="8" t="s">
        <v>70</v>
      </c>
      <c r="D31" s="8">
        <v>1</v>
      </c>
      <c r="E31" s="8">
        <v>1</v>
      </c>
      <c r="F31" s="8">
        <v>98</v>
      </c>
      <c r="G31" s="8">
        <v>98</v>
      </c>
      <c r="H31" s="8" t="s">
        <v>34</v>
      </c>
      <c r="I31" s="8">
        <v>10</v>
      </c>
      <c r="J31" s="8">
        <v>5</v>
      </c>
      <c r="K31" s="8">
        <f>$I31+$J31*(1-1)</f>
        <v>10</v>
      </c>
      <c r="L31" s="8">
        <f>$I31+$J31*(2-1)</f>
        <v>15</v>
      </c>
      <c r="M31" s="8">
        <f>$I31+$J31*(3-1)</f>
        <v>20</v>
      </c>
      <c r="N31" s="8">
        <f>$I31+$J31*(5-1)</f>
        <v>30</v>
      </c>
      <c r="O31" s="8">
        <f>$I31+$J31*(10-1)</f>
        <v>55</v>
      </c>
      <c r="P31" s="8">
        <f>$I31+$J31*(20-1)</f>
        <v>105</v>
      </c>
      <c r="Q31" s="8">
        <f>$I31+$J31*($G31-1)</f>
        <v>495</v>
      </c>
      <c r="R31" s="8" t="s">
        <v>31</v>
      </c>
      <c r="S31" s="8" t="s">
        <v>73</v>
      </c>
    </row>
    <row r="32" spans="1:19" x14ac:dyDescent="0.2">
      <c r="A32" s="8" t="s">
        <v>72</v>
      </c>
      <c r="B32" s="8" t="s">
        <v>69</v>
      </c>
      <c r="C32" s="8" t="s">
        <v>70</v>
      </c>
      <c r="D32" s="8">
        <v>1</v>
      </c>
      <c r="E32" s="8">
        <v>1</v>
      </c>
      <c r="F32" s="8">
        <v>98</v>
      </c>
      <c r="G32" s="8">
        <v>98</v>
      </c>
      <c r="H32" s="8" t="s">
        <v>24</v>
      </c>
      <c r="I32" s="8">
        <v>10</v>
      </c>
      <c r="J32" s="8">
        <v>6</v>
      </c>
      <c r="K32" s="8">
        <f>$I32+$J32*(1-1)</f>
        <v>10</v>
      </c>
      <c r="L32" s="8">
        <f>$I32+$J32*(2-1)</f>
        <v>16</v>
      </c>
      <c r="M32" s="8">
        <f>$I32+$J32*(3-1)</f>
        <v>22</v>
      </c>
      <c r="N32" s="8">
        <f>$I32+$J32*(5-1)</f>
        <v>34</v>
      </c>
      <c r="O32" s="8">
        <f>$I32+$J32*(10-1)</f>
        <v>64</v>
      </c>
      <c r="P32" s="8">
        <f>$I32+$J32*(20-1)</f>
        <v>124</v>
      </c>
      <c r="Q32" s="8">
        <f>$I32+$J32*($G32-1)</f>
        <v>592</v>
      </c>
      <c r="R32" s="8" t="s">
        <v>31</v>
      </c>
      <c r="S32" s="8" t="s">
        <v>73</v>
      </c>
    </row>
    <row r="33" spans="1:19" x14ac:dyDescent="0.2">
      <c r="A33" s="8" t="s">
        <v>74</v>
      </c>
      <c r="B33" s="8" t="s">
        <v>69</v>
      </c>
      <c r="C33" s="8" t="s">
        <v>70</v>
      </c>
      <c r="D33" s="8">
        <v>1</v>
      </c>
      <c r="E33" s="8">
        <v>1</v>
      </c>
      <c r="F33" s="8">
        <v>98</v>
      </c>
      <c r="G33" s="8">
        <v>98</v>
      </c>
      <c r="H33" s="8" t="s">
        <v>34</v>
      </c>
      <c r="I33" s="8">
        <v>10</v>
      </c>
      <c r="J33" s="8">
        <v>5</v>
      </c>
      <c r="K33" s="8">
        <f>$I33+$J33*(1-1)</f>
        <v>10</v>
      </c>
      <c r="L33" s="8">
        <f>$I33+$J33*(2-1)</f>
        <v>15</v>
      </c>
      <c r="M33" s="8">
        <f>$I33+$J33*(3-1)</f>
        <v>20</v>
      </c>
      <c r="N33" s="8">
        <f>$I33+$J33*(5-1)</f>
        <v>30</v>
      </c>
      <c r="O33" s="8">
        <f>$I33+$J33*(10-1)</f>
        <v>55</v>
      </c>
      <c r="P33" s="8">
        <f>$I33+$J33*(20-1)</f>
        <v>105</v>
      </c>
      <c r="Q33" s="8">
        <f>$I33+$J33*($G33-1)</f>
        <v>495</v>
      </c>
      <c r="R33" s="8" t="s">
        <v>31</v>
      </c>
      <c r="S33" s="8" t="s">
        <v>75</v>
      </c>
    </row>
    <row r="34" spans="1:19" x14ac:dyDescent="0.2">
      <c r="A34" s="8" t="s">
        <v>74</v>
      </c>
      <c r="B34" s="8" t="s">
        <v>69</v>
      </c>
      <c r="C34" s="8" t="s">
        <v>70</v>
      </c>
      <c r="D34" s="8">
        <v>1</v>
      </c>
      <c r="E34" s="8">
        <v>1</v>
      </c>
      <c r="F34" s="8">
        <v>98</v>
      </c>
      <c r="G34" s="8">
        <v>98</v>
      </c>
      <c r="H34" s="8" t="s">
        <v>24</v>
      </c>
      <c r="I34" s="8">
        <v>10</v>
      </c>
      <c r="J34" s="8">
        <v>6</v>
      </c>
      <c r="K34" s="8">
        <f>$I34+$J34*(1-1)</f>
        <v>10</v>
      </c>
      <c r="L34" s="8">
        <f>$I34+$J34*(2-1)</f>
        <v>16</v>
      </c>
      <c r="M34" s="8">
        <f>$I34+$J34*(3-1)</f>
        <v>22</v>
      </c>
      <c r="N34" s="8">
        <f>$I34+$J34*(5-1)</f>
        <v>34</v>
      </c>
      <c r="O34" s="8">
        <f>$I34+$J34*(10-1)</f>
        <v>64</v>
      </c>
      <c r="P34" s="8">
        <f>$I34+$J34*(20-1)</f>
        <v>124</v>
      </c>
      <c r="Q34" s="8">
        <f>$I34+$J34*($G34-1)</f>
        <v>592</v>
      </c>
      <c r="R34" s="8" t="s">
        <v>31</v>
      </c>
      <c r="S34" s="8" t="s">
        <v>75</v>
      </c>
    </row>
    <row r="35" spans="1:19" x14ac:dyDescent="0.2">
      <c r="A35" s="8" t="s">
        <v>76</v>
      </c>
      <c r="B35" s="8" t="s">
        <v>69</v>
      </c>
      <c r="C35" s="8" t="s">
        <v>70</v>
      </c>
      <c r="D35" s="8">
        <v>2</v>
      </c>
      <c r="E35" s="8">
        <v>6</v>
      </c>
      <c r="F35" s="8">
        <v>98</v>
      </c>
      <c r="G35" s="8">
        <v>94</v>
      </c>
      <c r="H35" s="8" t="s">
        <v>34</v>
      </c>
      <c r="I35" s="8">
        <v>10</v>
      </c>
      <c r="J35" s="8">
        <v>5</v>
      </c>
      <c r="K35" s="8">
        <f>$I35+$J35*(1-1)</f>
        <v>10</v>
      </c>
      <c r="L35" s="8">
        <f>$I35+$J35*(2-1)</f>
        <v>15</v>
      </c>
      <c r="M35" s="8">
        <f>$I35+$J35*(3-1)</f>
        <v>20</v>
      </c>
      <c r="N35" s="8">
        <f>$I35+$J35*(5-1)</f>
        <v>30</v>
      </c>
      <c r="O35" s="8">
        <f>$I35+$J35*(10-1)</f>
        <v>55</v>
      </c>
      <c r="P35" s="8">
        <f>$I35+$J35*(20-1)</f>
        <v>105</v>
      </c>
      <c r="Q35" s="8">
        <f>$I35+$J35*($G35-1)</f>
        <v>475</v>
      </c>
      <c r="R35" s="8" t="s">
        <v>31</v>
      </c>
      <c r="S35" s="8" t="s">
        <v>77</v>
      </c>
    </row>
    <row r="36" spans="1:19" x14ac:dyDescent="0.2">
      <c r="A36" s="8" t="s">
        <v>76</v>
      </c>
      <c r="B36" s="8" t="s">
        <v>69</v>
      </c>
      <c r="C36" s="8" t="s">
        <v>70</v>
      </c>
      <c r="D36" s="8">
        <v>2</v>
      </c>
      <c r="E36" s="8">
        <v>6</v>
      </c>
      <c r="F36" s="8">
        <v>98</v>
      </c>
      <c r="G36" s="8">
        <v>94</v>
      </c>
      <c r="H36" s="8" t="s">
        <v>24</v>
      </c>
      <c r="I36" s="8">
        <v>10</v>
      </c>
      <c r="J36" s="8">
        <v>6</v>
      </c>
      <c r="K36" s="8">
        <f>$I36+$J36*(1-1)</f>
        <v>10</v>
      </c>
      <c r="L36" s="8">
        <f>$I36+$J36*(2-1)</f>
        <v>16</v>
      </c>
      <c r="M36" s="8">
        <f>$I36+$J36*(3-1)</f>
        <v>22</v>
      </c>
      <c r="N36" s="8">
        <f>$I36+$J36*(5-1)</f>
        <v>34</v>
      </c>
      <c r="O36" s="8">
        <f>$I36+$J36*(10-1)</f>
        <v>64</v>
      </c>
      <c r="P36" s="8">
        <f>$I36+$J36*(20-1)</f>
        <v>124</v>
      </c>
      <c r="Q36" s="8">
        <f>$I36+$J36*($G36-1)</f>
        <v>568</v>
      </c>
      <c r="R36" s="8" t="s">
        <v>31</v>
      </c>
      <c r="S36" s="8" t="s">
        <v>77</v>
      </c>
    </row>
    <row r="37" spans="1:19" x14ac:dyDescent="0.2">
      <c r="A37" s="8" t="s">
        <v>78</v>
      </c>
      <c r="B37" s="8" t="s">
        <v>69</v>
      </c>
      <c r="C37" s="8" t="s">
        <v>70</v>
      </c>
      <c r="D37" s="8">
        <v>4</v>
      </c>
      <c r="E37" s="8">
        <v>18</v>
      </c>
      <c r="F37" s="8">
        <v>98</v>
      </c>
      <c r="G37" s="8">
        <v>82</v>
      </c>
      <c r="H37" s="8" t="s">
        <v>55</v>
      </c>
      <c r="I37" s="8">
        <v>20</v>
      </c>
      <c r="J37" s="8">
        <v>10</v>
      </c>
      <c r="K37" s="8">
        <f>$I37+$J37*(1-1)</f>
        <v>20</v>
      </c>
      <c r="L37" s="8">
        <f>$I37+$J37*(2-1)</f>
        <v>30</v>
      </c>
      <c r="M37" s="8">
        <f>$I37+$J37*(3-1)</f>
        <v>40</v>
      </c>
      <c r="N37" s="8">
        <f>$I37+$J37*(5-1)</f>
        <v>60</v>
      </c>
      <c r="O37" s="8">
        <f>$I37+$J37*(10-1)</f>
        <v>110</v>
      </c>
      <c r="P37" s="8">
        <f>$I37+$J37*(20-1)</f>
        <v>210</v>
      </c>
      <c r="Q37" s="8">
        <f>$I37+$J37*($G37-1)</f>
        <v>830</v>
      </c>
      <c r="R37" s="8" t="s">
        <v>31</v>
      </c>
      <c r="S37" s="8"/>
    </row>
    <row r="38" spans="1:19" x14ac:dyDescent="0.2">
      <c r="A38" s="8" t="s">
        <v>79</v>
      </c>
      <c r="B38" s="8" t="s">
        <v>69</v>
      </c>
      <c r="C38" s="8" t="s">
        <v>70</v>
      </c>
      <c r="D38" s="8">
        <v>5</v>
      </c>
      <c r="E38" s="8">
        <v>24</v>
      </c>
      <c r="F38" s="8">
        <v>98</v>
      </c>
      <c r="G38" s="8">
        <v>76</v>
      </c>
      <c r="H38" s="8" t="s">
        <v>62</v>
      </c>
      <c r="I38" s="8" t="s">
        <v>30</v>
      </c>
      <c r="J38" s="8" t="s">
        <v>30</v>
      </c>
      <c r="K38" s="8" t="s">
        <v>31</v>
      </c>
      <c r="L38" s="8" t="s">
        <v>31</v>
      </c>
      <c r="M38" s="8" t="s">
        <v>31</v>
      </c>
      <c r="N38" s="8" t="s">
        <v>31</v>
      </c>
      <c r="O38" s="8" t="s">
        <v>31</v>
      </c>
      <c r="P38" s="8" t="s">
        <v>31</v>
      </c>
      <c r="Q38" s="8" t="s">
        <v>31</v>
      </c>
      <c r="R38" s="8" t="s">
        <v>31</v>
      </c>
      <c r="S38" s="8" t="s">
        <v>63</v>
      </c>
    </row>
    <row r="39" spans="1:19" x14ac:dyDescent="0.2">
      <c r="A39" s="8" t="s">
        <v>80</v>
      </c>
      <c r="B39" s="8" t="s">
        <v>69</v>
      </c>
      <c r="C39" s="8" t="s">
        <v>70</v>
      </c>
      <c r="D39" s="8">
        <v>6</v>
      </c>
      <c r="E39" s="8">
        <v>30</v>
      </c>
      <c r="F39" s="8">
        <v>98</v>
      </c>
      <c r="G39" s="8">
        <v>70</v>
      </c>
      <c r="H39" s="8" t="s">
        <v>53</v>
      </c>
      <c r="I39" s="8">
        <v>8</v>
      </c>
      <c r="J39" s="8">
        <v>3</v>
      </c>
      <c r="K39" s="8">
        <f>$I39+$J39*(1-1)</f>
        <v>8</v>
      </c>
      <c r="L39" s="8">
        <f>$I39+$J39*(2-1)</f>
        <v>11</v>
      </c>
      <c r="M39" s="8">
        <f>$I39+$J39*(3-1)</f>
        <v>14</v>
      </c>
      <c r="N39" s="8">
        <f>$I39+$J39*(5-1)</f>
        <v>20</v>
      </c>
      <c r="O39" s="8">
        <f>$I39+$J39*(10-1)</f>
        <v>35</v>
      </c>
      <c r="P39" s="8">
        <f>$I39+$J39*(20-1)</f>
        <v>65</v>
      </c>
      <c r="Q39" s="8">
        <f>$I39+$J39*($G39-1)</f>
        <v>215</v>
      </c>
      <c r="R39" s="8" t="s">
        <v>31</v>
      </c>
      <c r="S39" s="8"/>
    </row>
    <row r="40" spans="1:19" x14ac:dyDescent="0.2">
      <c r="A40" s="8" t="s">
        <v>80</v>
      </c>
      <c r="B40" s="8" t="s">
        <v>69</v>
      </c>
      <c r="C40" s="8" t="s">
        <v>70</v>
      </c>
      <c r="D40" s="8">
        <v>6</v>
      </c>
      <c r="E40" s="8">
        <v>30</v>
      </c>
      <c r="F40" s="8">
        <v>98</v>
      </c>
      <c r="G40" s="8">
        <v>70</v>
      </c>
      <c r="H40" s="8" t="s">
        <v>60</v>
      </c>
      <c r="I40" s="8">
        <v>8</v>
      </c>
      <c r="J40" s="8">
        <v>3</v>
      </c>
      <c r="K40" s="8">
        <f>$I40+$J40*(1-1)</f>
        <v>8</v>
      </c>
      <c r="L40" s="8">
        <f>$I40+$J40*(2-1)</f>
        <v>11</v>
      </c>
      <c r="M40" s="8">
        <f>$I40+$J40*(3-1)</f>
        <v>14</v>
      </c>
      <c r="N40" s="8">
        <f>$I40+$J40*(5-1)</f>
        <v>20</v>
      </c>
      <c r="O40" s="8">
        <f>$I40+$J40*(10-1)</f>
        <v>35</v>
      </c>
      <c r="P40" s="8">
        <f>$I40+$J40*(20-1)</f>
        <v>65</v>
      </c>
      <c r="Q40" s="8">
        <f>$I40+$J40*($G40-1)</f>
        <v>215</v>
      </c>
      <c r="R40" s="8" t="s">
        <v>31</v>
      </c>
      <c r="S40" s="8"/>
    </row>
    <row r="41" spans="1:19" x14ac:dyDescent="0.2">
      <c r="A41" s="8" t="s">
        <v>80</v>
      </c>
      <c r="B41" s="8" t="s">
        <v>69</v>
      </c>
      <c r="C41" s="8" t="s">
        <v>70</v>
      </c>
      <c r="D41" s="8">
        <v>6</v>
      </c>
      <c r="E41" s="8">
        <v>30</v>
      </c>
      <c r="F41" s="8">
        <v>98</v>
      </c>
      <c r="G41" s="8">
        <v>70</v>
      </c>
      <c r="H41" s="8" t="s">
        <v>57</v>
      </c>
      <c r="I41" s="8">
        <v>8</v>
      </c>
      <c r="J41" s="8">
        <v>3</v>
      </c>
      <c r="K41" s="8">
        <f>$I41+$J41*(1-1)</f>
        <v>8</v>
      </c>
      <c r="L41" s="8">
        <f>$I41+$J41*(2-1)</f>
        <v>11</v>
      </c>
      <c r="M41" s="8">
        <f>$I41+$J41*(3-1)</f>
        <v>14</v>
      </c>
      <c r="N41" s="8">
        <f>$I41+$J41*(5-1)</f>
        <v>20</v>
      </c>
      <c r="O41" s="8">
        <f>$I41+$J41*(10-1)</f>
        <v>35</v>
      </c>
      <c r="P41" s="8">
        <f>$I41+$J41*(20-1)</f>
        <v>65</v>
      </c>
      <c r="Q41" s="8">
        <f>$I41+$J41*($G41-1)</f>
        <v>215</v>
      </c>
      <c r="R41" s="8" t="s">
        <v>31</v>
      </c>
      <c r="S41" s="8"/>
    </row>
    <row r="42" spans="1:19" x14ac:dyDescent="0.2">
      <c r="A42" s="8" t="s">
        <v>81</v>
      </c>
      <c r="B42" s="8" t="s">
        <v>82</v>
      </c>
      <c r="C42" s="8" t="s">
        <v>70</v>
      </c>
      <c r="D42" s="8">
        <v>6</v>
      </c>
      <c r="E42" s="8">
        <v>30</v>
      </c>
      <c r="F42" s="8">
        <v>98</v>
      </c>
      <c r="G42" s="8">
        <v>70</v>
      </c>
      <c r="H42" s="8" t="s">
        <v>38</v>
      </c>
      <c r="I42" s="8">
        <v>1</v>
      </c>
      <c r="J42" s="8">
        <v>1</v>
      </c>
      <c r="K42" s="8">
        <f>$I42+$J42*(1-1)</f>
        <v>1</v>
      </c>
      <c r="L42" s="8">
        <f>$I42+$J42*(2-1)</f>
        <v>2</v>
      </c>
      <c r="M42" s="8">
        <f>$I42+$J42*(3-1)</f>
        <v>3</v>
      </c>
      <c r="N42" s="8">
        <f>$I42+$J42*(5-1)</f>
        <v>5</v>
      </c>
      <c r="O42" s="8">
        <f>$I42+$J42*(10-1)</f>
        <v>10</v>
      </c>
      <c r="P42" s="8">
        <f>$I42+$J42*(20-1)</f>
        <v>20</v>
      </c>
      <c r="Q42" s="8">
        <f>$I42+$J42*($G42-1)</f>
        <v>70</v>
      </c>
      <c r="R42" s="8" t="s">
        <v>31</v>
      </c>
      <c r="S42" s="8"/>
    </row>
    <row r="43" spans="1:19" x14ac:dyDescent="0.2">
      <c r="A43" s="8" t="s">
        <v>81</v>
      </c>
      <c r="B43" s="8" t="s">
        <v>82</v>
      </c>
      <c r="C43" s="8" t="s">
        <v>70</v>
      </c>
      <c r="D43" s="8">
        <v>6</v>
      </c>
      <c r="E43" s="8">
        <v>30</v>
      </c>
      <c r="F43" s="8">
        <v>98</v>
      </c>
      <c r="G43" s="8">
        <v>70</v>
      </c>
      <c r="H43" s="8" t="s">
        <v>40</v>
      </c>
      <c r="I43" s="8">
        <v>10</v>
      </c>
      <c r="J43" s="8">
        <v>6</v>
      </c>
      <c r="K43" s="8">
        <f>$I43+$J43*(1-1)</f>
        <v>10</v>
      </c>
      <c r="L43" s="8">
        <f>$I43+$J43*(2-1)</f>
        <v>16</v>
      </c>
      <c r="M43" s="8">
        <f>$I43+$J43*(3-1)</f>
        <v>22</v>
      </c>
      <c r="N43" s="8">
        <f>$I43+$J43*(5-1)</f>
        <v>34</v>
      </c>
      <c r="O43" s="8">
        <f>$I43+$J43*(10-1)</f>
        <v>64</v>
      </c>
      <c r="P43" s="8">
        <f>$I43+$J43*(20-1)</f>
        <v>124</v>
      </c>
      <c r="Q43" s="8">
        <f>$I43+$J43*($G43-1)</f>
        <v>424</v>
      </c>
      <c r="R43" s="8" t="s">
        <v>31</v>
      </c>
      <c r="S43" s="8"/>
    </row>
    <row r="44" spans="1:19" x14ac:dyDescent="0.2">
      <c r="A44" s="8" t="s">
        <v>81</v>
      </c>
      <c r="B44" s="8" t="s">
        <v>82</v>
      </c>
      <c r="C44" s="8" t="s">
        <v>70</v>
      </c>
      <c r="D44" s="8">
        <v>6</v>
      </c>
      <c r="E44" s="8">
        <v>30</v>
      </c>
      <c r="F44" s="8">
        <v>98</v>
      </c>
      <c r="G44" s="8">
        <v>70</v>
      </c>
      <c r="H44" s="8" t="s">
        <v>60</v>
      </c>
      <c r="I44" s="8">
        <v>5</v>
      </c>
      <c r="J44" s="8">
        <v>2</v>
      </c>
      <c r="K44" s="8">
        <f>$I44+$J44*(1-1)</f>
        <v>5</v>
      </c>
      <c r="L44" s="8">
        <f>$I44+$J44*(2-1)</f>
        <v>7</v>
      </c>
      <c r="M44" s="8">
        <f>$I44+$J44*(3-1)</f>
        <v>9</v>
      </c>
      <c r="N44" s="8">
        <f>$I44+$J44*(5-1)</f>
        <v>13</v>
      </c>
      <c r="O44" s="8">
        <f>$I44+$J44*(10-1)</f>
        <v>23</v>
      </c>
      <c r="P44" s="8">
        <f>$I44+$J44*(20-1)</f>
        <v>43</v>
      </c>
      <c r="Q44" s="8">
        <f>$I44+$J44*($G44-1)</f>
        <v>143</v>
      </c>
      <c r="R44" s="8" t="s">
        <v>31</v>
      </c>
      <c r="S44" s="8"/>
    </row>
    <row r="45" spans="1:19" x14ac:dyDescent="0.2">
      <c r="A45" s="8" t="s">
        <v>83</v>
      </c>
      <c r="B45" s="8" t="s">
        <v>82</v>
      </c>
      <c r="C45" s="8" t="s">
        <v>70</v>
      </c>
      <c r="D45" s="8">
        <v>1</v>
      </c>
      <c r="E45" s="8">
        <v>1</v>
      </c>
      <c r="F45" s="8">
        <v>98</v>
      </c>
      <c r="G45" s="8">
        <v>98</v>
      </c>
      <c r="H45" s="8" t="s">
        <v>65</v>
      </c>
      <c r="I45" s="8">
        <v>2</v>
      </c>
      <c r="J45" s="8">
        <v>2</v>
      </c>
      <c r="K45" s="8">
        <f>$I45+$J45*(1-1)</f>
        <v>2</v>
      </c>
      <c r="L45" s="8">
        <f>$I45+$J45*(2-1)</f>
        <v>4</v>
      </c>
      <c r="M45" s="8">
        <f>$I45+$J45*(3-1)</f>
        <v>6</v>
      </c>
      <c r="N45" s="8">
        <f>$I45+$J45*(5-1)</f>
        <v>10</v>
      </c>
      <c r="O45" s="8">
        <f>$I45+$J45*(10-1)</f>
        <v>20</v>
      </c>
      <c r="P45" s="8">
        <f>$I45+$J45*(20-1)</f>
        <v>40</v>
      </c>
      <c r="Q45" s="8">
        <f>$I45+$J45*($G45-1)</f>
        <v>196</v>
      </c>
      <c r="R45" s="8" t="s">
        <v>31</v>
      </c>
      <c r="S45" s="8" t="s">
        <v>66</v>
      </c>
    </row>
    <row r="46" spans="1:19" x14ac:dyDescent="0.2">
      <c r="A46" s="8" t="s">
        <v>84</v>
      </c>
      <c r="B46" s="8" t="s">
        <v>82</v>
      </c>
      <c r="C46" s="8" t="s">
        <v>70</v>
      </c>
      <c r="D46" s="8">
        <v>4</v>
      </c>
      <c r="E46" s="8">
        <v>18</v>
      </c>
      <c r="F46" s="8">
        <v>98</v>
      </c>
      <c r="G46" s="8">
        <v>82</v>
      </c>
      <c r="H46" s="8" t="s">
        <v>27</v>
      </c>
      <c r="I46" s="8">
        <v>2</v>
      </c>
      <c r="J46" s="8">
        <v>1</v>
      </c>
      <c r="K46" s="8">
        <f>$I46+$J46*(1-1)</f>
        <v>2</v>
      </c>
      <c r="L46" s="8">
        <f>$I46+$J46*(2-1)</f>
        <v>3</v>
      </c>
      <c r="M46" s="8">
        <f>$I46+$J46*(3-1)</f>
        <v>4</v>
      </c>
      <c r="N46" s="8">
        <f>$I46+$J46*(5-1)</f>
        <v>6</v>
      </c>
      <c r="O46" s="8">
        <f>$I46+$J46*(10-1)</f>
        <v>11</v>
      </c>
      <c r="P46" s="8">
        <f>$I46+$J46*(20-1)</f>
        <v>21</v>
      </c>
      <c r="Q46" s="8">
        <f>$I46+$J46*($G46-1)</f>
        <v>83</v>
      </c>
      <c r="R46" s="8" t="s">
        <v>31</v>
      </c>
      <c r="S46" s="8"/>
    </row>
    <row r="47" spans="1:19" x14ac:dyDescent="0.2">
      <c r="A47" s="8" t="s">
        <v>84</v>
      </c>
      <c r="B47" s="8" t="s">
        <v>82</v>
      </c>
      <c r="C47" s="8" t="s">
        <v>70</v>
      </c>
      <c r="D47" s="8">
        <v>4</v>
      </c>
      <c r="E47" s="8">
        <v>18</v>
      </c>
      <c r="F47" s="8">
        <v>98</v>
      </c>
      <c r="G47" s="8">
        <v>82</v>
      </c>
      <c r="H47" s="8" t="s">
        <v>28</v>
      </c>
      <c r="I47" s="8">
        <v>5</v>
      </c>
      <c r="J47" s="8">
        <v>3</v>
      </c>
      <c r="K47" s="8">
        <f>$I47+$J47*(1-1)</f>
        <v>5</v>
      </c>
      <c r="L47" s="8">
        <f>$I47+$J47*(2-1)</f>
        <v>8</v>
      </c>
      <c r="M47" s="8">
        <f>$I47+$J47*(3-1)</f>
        <v>11</v>
      </c>
      <c r="N47" s="8">
        <f>$I47+$J47*(5-1)</f>
        <v>17</v>
      </c>
      <c r="O47" s="8">
        <f>$I47+$J47*(10-1)</f>
        <v>32</v>
      </c>
      <c r="P47" s="8">
        <f>$I47+$J47*(20-1)</f>
        <v>62</v>
      </c>
      <c r="Q47" s="8">
        <f>$I47+$J47*($G47-1)</f>
        <v>248</v>
      </c>
      <c r="R47" s="8" t="s">
        <v>31</v>
      </c>
      <c r="S47" s="8"/>
    </row>
    <row r="48" spans="1:19" x14ac:dyDescent="0.2">
      <c r="A48" s="8" t="s">
        <v>85</v>
      </c>
      <c r="B48" s="8" t="s">
        <v>82</v>
      </c>
      <c r="C48" s="8" t="s">
        <v>70</v>
      </c>
      <c r="D48" s="8">
        <v>6</v>
      </c>
      <c r="E48" s="8">
        <v>30</v>
      </c>
      <c r="F48" s="8">
        <v>98</v>
      </c>
      <c r="G48" s="8">
        <v>70</v>
      </c>
      <c r="H48" s="8" t="s">
        <v>27</v>
      </c>
      <c r="I48" s="8">
        <v>3</v>
      </c>
      <c r="J48" s="8">
        <v>2</v>
      </c>
      <c r="K48" s="8">
        <f>$I48+$J48*(1-1)</f>
        <v>3</v>
      </c>
      <c r="L48" s="8">
        <f>$I48+$J48*(2-1)</f>
        <v>5</v>
      </c>
      <c r="M48" s="8">
        <f>$I48+$J48*(3-1)</f>
        <v>7</v>
      </c>
      <c r="N48" s="8">
        <f>$I48+$J48*(5-1)</f>
        <v>11</v>
      </c>
      <c r="O48" s="8">
        <f>$I48+$J48*(10-1)</f>
        <v>21</v>
      </c>
      <c r="P48" s="8">
        <f>$I48+$J48*(20-1)</f>
        <v>41</v>
      </c>
      <c r="Q48" s="8">
        <f>$I48+$J48*($G48-1)</f>
        <v>141</v>
      </c>
      <c r="R48" s="8" t="s">
        <v>31</v>
      </c>
      <c r="S48" s="8"/>
    </row>
    <row r="49" spans="1:19" x14ac:dyDescent="0.2">
      <c r="A49" s="8" t="s">
        <v>85</v>
      </c>
      <c r="B49" s="8" t="s">
        <v>82</v>
      </c>
      <c r="C49" s="8" t="s">
        <v>70</v>
      </c>
      <c r="D49" s="8">
        <v>6</v>
      </c>
      <c r="E49" s="8">
        <v>30</v>
      </c>
      <c r="F49" s="8">
        <v>98</v>
      </c>
      <c r="G49" s="8">
        <v>70</v>
      </c>
      <c r="H49" s="8" t="s">
        <v>28</v>
      </c>
      <c r="I49" s="8">
        <v>7</v>
      </c>
      <c r="J49" s="8">
        <v>4</v>
      </c>
      <c r="K49" s="8">
        <f>$I49+$J49*(1-1)</f>
        <v>7</v>
      </c>
      <c r="L49" s="8">
        <f>$I49+$J49*(2-1)</f>
        <v>11</v>
      </c>
      <c r="M49" s="8">
        <f>$I49+$J49*(3-1)</f>
        <v>15</v>
      </c>
      <c r="N49" s="8">
        <f>$I49+$J49*(5-1)</f>
        <v>23</v>
      </c>
      <c r="O49" s="8">
        <f>$I49+$J49*(10-1)</f>
        <v>43</v>
      </c>
      <c r="P49" s="8">
        <f>$I49+$J49*(20-1)</f>
        <v>83</v>
      </c>
      <c r="Q49" s="8">
        <f>$I49+$J49*($G49-1)</f>
        <v>283</v>
      </c>
      <c r="R49" s="8" t="s">
        <v>31</v>
      </c>
      <c r="S49" s="8"/>
    </row>
    <row r="50" spans="1:19" x14ac:dyDescent="0.2">
      <c r="A50" s="8" t="s">
        <v>85</v>
      </c>
      <c r="B50" s="8" t="s">
        <v>82</v>
      </c>
      <c r="C50" s="8" t="s">
        <v>70</v>
      </c>
      <c r="D50" s="8">
        <v>6</v>
      </c>
      <c r="E50" s="8">
        <v>30</v>
      </c>
      <c r="F50" s="8">
        <v>98</v>
      </c>
      <c r="G50" s="8">
        <v>70</v>
      </c>
      <c r="H50" s="8" t="s">
        <v>53</v>
      </c>
      <c r="I50" s="8">
        <v>5</v>
      </c>
      <c r="J50" s="8">
        <v>2</v>
      </c>
      <c r="K50" s="8">
        <f>$I50+$J50*(1-1)</f>
        <v>5</v>
      </c>
      <c r="L50" s="8">
        <f>$I50+$J50*(2-1)</f>
        <v>7</v>
      </c>
      <c r="M50" s="8">
        <f>$I50+$J50*(3-1)</f>
        <v>9</v>
      </c>
      <c r="N50" s="8">
        <f>$I50+$J50*(5-1)</f>
        <v>13</v>
      </c>
      <c r="O50" s="8">
        <f>$I50+$J50*(10-1)</f>
        <v>23</v>
      </c>
      <c r="P50" s="8">
        <f>$I50+$J50*(20-1)</f>
        <v>43</v>
      </c>
      <c r="Q50" s="8">
        <f>$I50+$J50*($G50-1)</f>
        <v>143</v>
      </c>
      <c r="R50" s="8" t="s">
        <v>31</v>
      </c>
      <c r="S50" s="8"/>
    </row>
    <row r="51" spans="1:19" x14ac:dyDescent="0.2">
      <c r="A51" s="8" t="s">
        <v>86</v>
      </c>
      <c r="B51" s="8" t="s">
        <v>87</v>
      </c>
      <c r="C51" s="8" t="s">
        <v>70</v>
      </c>
      <c r="D51" s="8">
        <v>1</v>
      </c>
      <c r="E51" s="8">
        <v>1</v>
      </c>
      <c r="F51" s="8">
        <v>98</v>
      </c>
      <c r="G51" s="8">
        <v>98</v>
      </c>
      <c r="H51" s="8" t="s">
        <v>24</v>
      </c>
      <c r="I51" s="8">
        <v>12</v>
      </c>
      <c r="J51" s="8">
        <v>6</v>
      </c>
      <c r="K51" s="8">
        <f>$I51+$J51*(1-1)</f>
        <v>12</v>
      </c>
      <c r="L51" s="8">
        <f>$I51+$J51*(2-1)</f>
        <v>18</v>
      </c>
      <c r="M51" s="8">
        <f>$I51+$J51*(3-1)</f>
        <v>24</v>
      </c>
      <c r="N51" s="8">
        <f>$I51+$J51*(5-1)</f>
        <v>36</v>
      </c>
      <c r="O51" s="8">
        <f>$I51+$J51*(10-1)</f>
        <v>66</v>
      </c>
      <c r="P51" s="8">
        <f>$I51+$J51*(20-1)</f>
        <v>126</v>
      </c>
      <c r="Q51" s="8">
        <f>$I51+$J51*($G51-1)</f>
        <v>594</v>
      </c>
      <c r="R51" s="8" t="s">
        <v>31</v>
      </c>
      <c r="S51" s="8" t="s">
        <v>88</v>
      </c>
    </row>
    <row r="52" spans="1:19" x14ac:dyDescent="0.2">
      <c r="A52" s="8" t="s">
        <v>89</v>
      </c>
      <c r="B52" s="8" t="s">
        <v>87</v>
      </c>
      <c r="C52" s="8" t="s">
        <v>70</v>
      </c>
      <c r="D52" s="8">
        <v>4</v>
      </c>
      <c r="E52" s="8">
        <v>18</v>
      </c>
      <c r="F52" s="8">
        <v>98</v>
      </c>
      <c r="G52" s="8">
        <v>82</v>
      </c>
      <c r="H52" s="8" t="s">
        <v>34</v>
      </c>
      <c r="I52" s="8">
        <v>12</v>
      </c>
      <c r="J52" s="8">
        <v>6</v>
      </c>
      <c r="K52" s="8">
        <f>$I52+$J52*(1-1)</f>
        <v>12</v>
      </c>
      <c r="L52" s="8">
        <f>$I52+$J52*(2-1)</f>
        <v>18</v>
      </c>
      <c r="M52" s="8">
        <f>$I52+$J52*(3-1)</f>
        <v>24</v>
      </c>
      <c r="N52" s="8">
        <f>$I52+$J52*(5-1)</f>
        <v>36</v>
      </c>
      <c r="O52" s="8">
        <f>$I52+$J52*(10-1)</f>
        <v>66</v>
      </c>
      <c r="P52" s="8">
        <f>$I52+$J52*(20-1)</f>
        <v>126</v>
      </c>
      <c r="Q52" s="8">
        <f>$I52+$J52*($G52-1)</f>
        <v>498</v>
      </c>
      <c r="R52" s="8" t="s">
        <v>31</v>
      </c>
      <c r="S52" s="8"/>
    </row>
    <row r="53" spans="1:19" ht="25.5" x14ac:dyDescent="0.2">
      <c r="A53" s="8" t="s">
        <v>90</v>
      </c>
      <c r="B53" s="8" t="s">
        <v>91</v>
      </c>
      <c r="C53" s="8" t="s">
        <v>23</v>
      </c>
      <c r="D53" s="8">
        <v>1</v>
      </c>
      <c r="E53" s="8">
        <v>1</v>
      </c>
      <c r="F53" s="8">
        <v>98</v>
      </c>
      <c r="G53" s="8">
        <v>98</v>
      </c>
      <c r="H53" s="8" t="s">
        <v>50</v>
      </c>
      <c r="I53" s="8">
        <v>2</v>
      </c>
      <c r="J53" s="8">
        <v>2</v>
      </c>
      <c r="K53" s="8">
        <f>$I53+$J53*(1-1)</f>
        <v>2</v>
      </c>
      <c r="L53" s="8">
        <f>$I53+$J53*(2-1)</f>
        <v>4</v>
      </c>
      <c r="M53" s="8">
        <f>$I53+$J53*(3-1)</f>
        <v>6</v>
      </c>
      <c r="N53" s="8">
        <f>$I53+$J53*(5-1)</f>
        <v>10</v>
      </c>
      <c r="O53" s="8">
        <f>$I53+$J53*(10-1)</f>
        <v>20</v>
      </c>
      <c r="P53" s="8">
        <f>$I53+$J53*(20-1)</f>
        <v>40</v>
      </c>
      <c r="Q53" s="8">
        <f>$I53+$J53*($G53-1)</f>
        <v>196</v>
      </c>
      <c r="R53" s="8" t="s">
        <v>25</v>
      </c>
      <c r="S53" s="8" t="s">
        <v>51</v>
      </c>
    </row>
    <row r="54" spans="1:19" ht="25.5" x14ac:dyDescent="0.2">
      <c r="A54" s="8" t="s">
        <v>92</v>
      </c>
      <c r="B54" s="8" t="s">
        <v>91</v>
      </c>
      <c r="C54" s="8" t="s">
        <v>23</v>
      </c>
      <c r="D54" s="8">
        <v>1</v>
      </c>
      <c r="E54" s="8">
        <v>1</v>
      </c>
      <c r="F54" s="8">
        <v>98</v>
      </c>
      <c r="G54" s="8">
        <v>98</v>
      </c>
      <c r="H54" s="8" t="s">
        <v>34</v>
      </c>
      <c r="I54" s="8">
        <v>12</v>
      </c>
      <c r="J54" s="8">
        <v>6</v>
      </c>
      <c r="K54" s="8">
        <f>$I54+$J54*(1-1)</f>
        <v>12</v>
      </c>
      <c r="L54" s="8">
        <f>$I54+$J54*(2-1)</f>
        <v>18</v>
      </c>
      <c r="M54" s="8">
        <f>$I54+$J54*(3-1)</f>
        <v>24</v>
      </c>
      <c r="N54" s="8">
        <f>$I54+$J54*(5-1)</f>
        <v>36</v>
      </c>
      <c r="O54" s="8">
        <f>$I54+$J54*(10-1)</f>
        <v>66</v>
      </c>
      <c r="P54" s="8">
        <f>$I54+$J54*(20-1)</f>
        <v>126</v>
      </c>
      <c r="Q54" s="8">
        <f>$I54+$J54*($G54-1)</f>
        <v>594</v>
      </c>
      <c r="R54" s="8" t="s">
        <v>25</v>
      </c>
      <c r="S54" s="8"/>
    </row>
    <row r="55" spans="1:19" ht="25.5" x14ac:dyDescent="0.2">
      <c r="A55" s="8" t="s">
        <v>92</v>
      </c>
      <c r="B55" s="8" t="s">
        <v>91</v>
      </c>
      <c r="C55" s="8" t="s">
        <v>23</v>
      </c>
      <c r="D55" s="8">
        <v>1</v>
      </c>
      <c r="E55" s="8">
        <v>1</v>
      </c>
      <c r="F55" s="8">
        <v>98</v>
      </c>
      <c r="G55" s="8">
        <v>98</v>
      </c>
      <c r="H55" s="8" t="s">
        <v>24</v>
      </c>
      <c r="I55" s="8">
        <v>12</v>
      </c>
      <c r="J55" s="8">
        <v>6</v>
      </c>
      <c r="K55" s="8">
        <f>$I55+$J55*(1-1)</f>
        <v>12</v>
      </c>
      <c r="L55" s="8">
        <f>$I55+$J55*(2-1)</f>
        <v>18</v>
      </c>
      <c r="M55" s="8">
        <f>$I55+$J55*(3-1)</f>
        <v>24</v>
      </c>
      <c r="N55" s="8">
        <f>$I55+$J55*(5-1)</f>
        <v>36</v>
      </c>
      <c r="O55" s="8">
        <f>$I55+$J55*(10-1)</f>
        <v>66</v>
      </c>
      <c r="P55" s="8">
        <f>$I55+$J55*(20-1)</f>
        <v>126</v>
      </c>
      <c r="Q55" s="8">
        <f>$I55+$J55*($G55-1)</f>
        <v>594</v>
      </c>
      <c r="R55" s="8" t="s">
        <v>25</v>
      </c>
      <c r="S55" s="8"/>
    </row>
    <row r="56" spans="1:19" ht="25.5" x14ac:dyDescent="0.2">
      <c r="A56" s="8" t="s">
        <v>93</v>
      </c>
      <c r="B56" s="8" t="s">
        <v>91</v>
      </c>
      <c r="C56" s="8" t="s">
        <v>23</v>
      </c>
      <c r="D56" s="8">
        <v>2</v>
      </c>
      <c r="E56" s="8">
        <v>6</v>
      </c>
      <c r="F56" s="8">
        <v>98</v>
      </c>
      <c r="G56" s="8">
        <v>94</v>
      </c>
      <c r="H56" s="8" t="s">
        <v>45</v>
      </c>
      <c r="I56" s="8" t="s">
        <v>30</v>
      </c>
      <c r="J56" s="8" t="s">
        <v>30</v>
      </c>
      <c r="K56" s="8" t="s">
        <v>31</v>
      </c>
      <c r="L56" s="8" t="s">
        <v>31</v>
      </c>
      <c r="M56" s="8" t="s">
        <v>31</v>
      </c>
      <c r="N56" s="8" t="s">
        <v>31</v>
      </c>
      <c r="O56" s="8" t="s">
        <v>31</v>
      </c>
      <c r="P56" s="8" t="s">
        <v>31</v>
      </c>
      <c r="Q56" s="8" t="s">
        <v>31</v>
      </c>
      <c r="R56" s="8" t="s">
        <v>25</v>
      </c>
      <c r="S56" s="8" t="s">
        <v>94</v>
      </c>
    </row>
    <row r="57" spans="1:19" ht="25.5" x14ac:dyDescent="0.2">
      <c r="A57" s="8" t="s">
        <v>95</v>
      </c>
      <c r="B57" s="8" t="s">
        <v>91</v>
      </c>
      <c r="C57" s="8" t="s">
        <v>23</v>
      </c>
      <c r="D57" s="8">
        <v>2</v>
      </c>
      <c r="E57" s="8">
        <v>6</v>
      </c>
      <c r="F57" s="8">
        <v>98</v>
      </c>
      <c r="G57" s="8">
        <v>94</v>
      </c>
      <c r="H57" s="8" t="s">
        <v>55</v>
      </c>
      <c r="I57" s="8">
        <v>20</v>
      </c>
      <c r="J57" s="8">
        <v>10</v>
      </c>
      <c r="K57" s="8">
        <f>$I57+$J57*(1-1)</f>
        <v>20</v>
      </c>
      <c r="L57" s="8">
        <f>$I57+$J57*(2-1)</f>
        <v>30</v>
      </c>
      <c r="M57" s="8">
        <f>$I57+$J57*(3-1)</f>
        <v>40</v>
      </c>
      <c r="N57" s="8">
        <f>$I57+$J57*(5-1)</f>
        <v>60</v>
      </c>
      <c r="O57" s="8">
        <f>$I57+$J57*(10-1)</f>
        <v>110</v>
      </c>
      <c r="P57" s="8">
        <f>$I57+$J57*(20-1)</f>
        <v>210</v>
      </c>
      <c r="Q57" s="8">
        <f>$I57+$J57*($G57-1)</f>
        <v>950</v>
      </c>
      <c r="R57" s="8" t="s">
        <v>25</v>
      </c>
      <c r="S57" s="8"/>
    </row>
    <row r="58" spans="1:19" ht="25.5" x14ac:dyDescent="0.2">
      <c r="A58" s="8" t="s">
        <v>95</v>
      </c>
      <c r="B58" s="8" t="s">
        <v>91</v>
      </c>
      <c r="C58" s="8" t="s">
        <v>23</v>
      </c>
      <c r="D58" s="8">
        <v>2</v>
      </c>
      <c r="E58" s="8">
        <v>6</v>
      </c>
      <c r="F58" s="8">
        <v>98</v>
      </c>
      <c r="G58" s="8">
        <v>94</v>
      </c>
      <c r="H58" s="8" t="s">
        <v>53</v>
      </c>
      <c r="I58" s="8">
        <v>8</v>
      </c>
      <c r="J58" s="8">
        <v>3</v>
      </c>
      <c r="K58" s="8">
        <f>$I58+$J58*(1-1)</f>
        <v>8</v>
      </c>
      <c r="L58" s="8">
        <f>$I58+$J58*(2-1)</f>
        <v>11</v>
      </c>
      <c r="M58" s="8">
        <f>$I58+$J58*(3-1)</f>
        <v>14</v>
      </c>
      <c r="N58" s="8">
        <f>$I58+$J58*(5-1)</f>
        <v>20</v>
      </c>
      <c r="O58" s="8">
        <f>$I58+$J58*(10-1)</f>
        <v>35</v>
      </c>
      <c r="P58" s="8">
        <f>$I58+$J58*(20-1)</f>
        <v>65</v>
      </c>
      <c r="Q58" s="8">
        <f>$I58+$J58*($G58-1)</f>
        <v>287</v>
      </c>
      <c r="R58" s="8" t="s">
        <v>25</v>
      </c>
      <c r="S58" s="8"/>
    </row>
    <row r="59" spans="1:19" ht="25.5" x14ac:dyDescent="0.2">
      <c r="A59" s="8" t="s">
        <v>95</v>
      </c>
      <c r="B59" s="8" t="s">
        <v>91</v>
      </c>
      <c r="C59" s="8" t="s">
        <v>23</v>
      </c>
      <c r="D59" s="8">
        <v>2</v>
      </c>
      <c r="E59" s="8">
        <v>6</v>
      </c>
      <c r="F59" s="8">
        <v>98</v>
      </c>
      <c r="G59" s="8">
        <v>94</v>
      </c>
      <c r="H59" s="8" t="s">
        <v>60</v>
      </c>
      <c r="I59" s="8">
        <v>8</v>
      </c>
      <c r="J59" s="8">
        <v>3</v>
      </c>
      <c r="K59" s="8">
        <f>$I59+$J59*(1-1)</f>
        <v>8</v>
      </c>
      <c r="L59" s="8">
        <f>$I59+$J59*(2-1)</f>
        <v>11</v>
      </c>
      <c r="M59" s="8">
        <f>$I59+$J59*(3-1)</f>
        <v>14</v>
      </c>
      <c r="N59" s="8">
        <f>$I59+$J59*(5-1)</f>
        <v>20</v>
      </c>
      <c r="O59" s="8">
        <f>$I59+$J59*(10-1)</f>
        <v>35</v>
      </c>
      <c r="P59" s="8">
        <f>$I59+$J59*(20-1)</f>
        <v>65</v>
      </c>
      <c r="Q59" s="8">
        <f>$I59+$J59*($G59-1)</f>
        <v>287</v>
      </c>
      <c r="R59" s="8" t="s">
        <v>25</v>
      </c>
      <c r="S59" s="8"/>
    </row>
    <row r="60" spans="1:19" ht="25.5" x14ac:dyDescent="0.2">
      <c r="A60" s="8" t="s">
        <v>95</v>
      </c>
      <c r="B60" s="8" t="s">
        <v>91</v>
      </c>
      <c r="C60" s="8" t="s">
        <v>23</v>
      </c>
      <c r="D60" s="8">
        <v>2</v>
      </c>
      <c r="E60" s="8">
        <v>6</v>
      </c>
      <c r="F60" s="8">
        <v>98</v>
      </c>
      <c r="G60" s="8">
        <v>94</v>
      </c>
      <c r="H60" s="8" t="s">
        <v>57</v>
      </c>
      <c r="I60" s="8">
        <v>8</v>
      </c>
      <c r="J60" s="8">
        <v>3</v>
      </c>
      <c r="K60" s="8">
        <f>$I60+$J60*(1-1)</f>
        <v>8</v>
      </c>
      <c r="L60" s="8">
        <f>$I60+$J60*(2-1)</f>
        <v>11</v>
      </c>
      <c r="M60" s="8">
        <f>$I60+$J60*(3-1)</f>
        <v>14</v>
      </c>
      <c r="N60" s="8">
        <f>$I60+$J60*(5-1)</f>
        <v>20</v>
      </c>
      <c r="O60" s="8">
        <f>$I60+$J60*(10-1)</f>
        <v>35</v>
      </c>
      <c r="P60" s="8">
        <f>$I60+$J60*(20-1)</f>
        <v>65</v>
      </c>
      <c r="Q60" s="8">
        <f>$I60+$J60*($G60-1)</f>
        <v>287</v>
      </c>
      <c r="R60" s="8" t="s">
        <v>25</v>
      </c>
      <c r="S60" s="8"/>
    </row>
    <row r="61" spans="1:19" ht="25.5" x14ac:dyDescent="0.2">
      <c r="A61" s="8" t="s">
        <v>96</v>
      </c>
      <c r="B61" s="8" t="s">
        <v>91</v>
      </c>
      <c r="C61" s="8" t="s">
        <v>23</v>
      </c>
      <c r="D61" s="8">
        <v>2</v>
      </c>
      <c r="E61" s="8">
        <v>6</v>
      </c>
      <c r="F61" s="8">
        <v>98</v>
      </c>
      <c r="G61" s="8">
        <v>94</v>
      </c>
      <c r="H61" s="8" t="s">
        <v>65</v>
      </c>
      <c r="I61" s="8">
        <v>2</v>
      </c>
      <c r="J61" s="8">
        <v>2</v>
      </c>
      <c r="K61" s="8">
        <f>$I61+$J61*(1-1)</f>
        <v>2</v>
      </c>
      <c r="L61" s="8">
        <f>$I61+$J61*(2-1)</f>
        <v>4</v>
      </c>
      <c r="M61" s="8">
        <f>$I61+$J61*(3-1)</f>
        <v>6</v>
      </c>
      <c r="N61" s="8">
        <f>$I61+$J61*(5-1)</f>
        <v>10</v>
      </c>
      <c r="O61" s="8">
        <f>$I61+$J61*(10-1)</f>
        <v>20</v>
      </c>
      <c r="P61" s="8">
        <f>$I61+$J61*(20-1)</f>
        <v>40</v>
      </c>
      <c r="Q61" s="8">
        <f>$I61+$J61*($G61-1)</f>
        <v>188</v>
      </c>
      <c r="R61" s="8" t="s">
        <v>25</v>
      </c>
      <c r="S61" s="8" t="s">
        <v>66</v>
      </c>
    </row>
    <row r="62" spans="1:19" ht="25.5" x14ac:dyDescent="0.2">
      <c r="A62" s="8" t="s">
        <v>97</v>
      </c>
      <c r="B62" s="8" t="s">
        <v>91</v>
      </c>
      <c r="C62" s="8" t="s">
        <v>23</v>
      </c>
      <c r="D62" s="8">
        <v>2</v>
      </c>
      <c r="E62" s="8">
        <v>6</v>
      </c>
      <c r="F62" s="8">
        <v>98</v>
      </c>
      <c r="G62" s="8">
        <v>94</v>
      </c>
      <c r="H62" s="8" t="s">
        <v>98</v>
      </c>
      <c r="I62" s="8">
        <v>4</v>
      </c>
      <c r="J62" s="8">
        <v>2</v>
      </c>
      <c r="K62" s="8">
        <f>$I62+$J62*(1-1)</f>
        <v>4</v>
      </c>
      <c r="L62" s="8">
        <f>$I62+$J62*(2-1)</f>
        <v>6</v>
      </c>
      <c r="M62" s="8">
        <f>$I62+$J62*(3-1)</f>
        <v>8</v>
      </c>
      <c r="N62" s="8">
        <f>$I62+$J62*(5-1)</f>
        <v>12</v>
      </c>
      <c r="O62" s="8">
        <f>$I62+$J62*(10-1)</f>
        <v>22</v>
      </c>
      <c r="P62" s="8">
        <f>$I62+$J62*(20-1)</f>
        <v>42</v>
      </c>
      <c r="Q62" s="8">
        <f>$I62+$J62*($G62-1)</f>
        <v>190</v>
      </c>
      <c r="R62" s="8" t="s">
        <v>25</v>
      </c>
      <c r="S62" s="8"/>
    </row>
    <row r="63" spans="1:19" ht="25.5" x14ac:dyDescent="0.2">
      <c r="A63" s="8" t="s">
        <v>97</v>
      </c>
      <c r="B63" s="8" t="s">
        <v>91</v>
      </c>
      <c r="C63" s="8" t="s">
        <v>23</v>
      </c>
      <c r="D63" s="8">
        <v>2</v>
      </c>
      <c r="E63" s="8">
        <v>6</v>
      </c>
      <c r="F63" s="8">
        <v>98</v>
      </c>
      <c r="G63" s="8">
        <v>94</v>
      </c>
      <c r="H63" s="8" t="s">
        <v>99</v>
      </c>
      <c r="I63" s="8">
        <v>4</v>
      </c>
      <c r="J63" s="8">
        <v>2</v>
      </c>
      <c r="K63" s="8">
        <f>$I63+$J63*(1-1)</f>
        <v>4</v>
      </c>
      <c r="L63" s="8">
        <f>$I63+$J63*(2-1)</f>
        <v>6</v>
      </c>
      <c r="M63" s="8">
        <f>$I63+$J63*(3-1)</f>
        <v>8</v>
      </c>
      <c r="N63" s="8">
        <f>$I63+$J63*(5-1)</f>
        <v>12</v>
      </c>
      <c r="O63" s="8">
        <f>$I63+$J63*(10-1)</f>
        <v>22</v>
      </c>
      <c r="P63" s="8">
        <f>$I63+$J63*(20-1)</f>
        <v>42</v>
      </c>
      <c r="Q63" s="8">
        <f>$I63+$J63*($G63-1)</f>
        <v>190</v>
      </c>
      <c r="R63" s="8" t="s">
        <v>25</v>
      </c>
      <c r="S63" s="8"/>
    </row>
    <row r="64" spans="1:19" x14ac:dyDescent="0.2">
      <c r="A64" s="8" t="s">
        <v>100</v>
      </c>
      <c r="B64" s="8" t="s">
        <v>101</v>
      </c>
      <c r="C64" s="8" t="s">
        <v>70</v>
      </c>
      <c r="D64" s="8">
        <v>7</v>
      </c>
      <c r="E64" s="8">
        <v>36</v>
      </c>
      <c r="F64" s="8">
        <v>1</v>
      </c>
      <c r="G64" s="8">
        <v>1</v>
      </c>
      <c r="H64" s="8" t="s">
        <v>24</v>
      </c>
      <c r="I64" s="8">
        <v>10</v>
      </c>
      <c r="J64" s="8">
        <v>0</v>
      </c>
      <c r="K64" s="8">
        <f>$I64+$J64*(1-1)</f>
        <v>10</v>
      </c>
      <c r="L64" s="8" t="s">
        <v>31</v>
      </c>
      <c r="M64" s="8" t="s">
        <v>31</v>
      </c>
      <c r="N64" s="8" t="s">
        <v>31</v>
      </c>
      <c r="O64" s="8" t="s">
        <v>31</v>
      </c>
      <c r="P64" s="8" t="s">
        <v>31</v>
      </c>
      <c r="Q64" s="8">
        <f>$I64+$J64*($G64-1)</f>
        <v>10</v>
      </c>
      <c r="R64" s="8" t="s">
        <v>31</v>
      </c>
      <c r="S64" s="8" t="s">
        <v>102</v>
      </c>
    </row>
    <row r="65" spans="1:19" x14ac:dyDescent="0.2">
      <c r="A65" s="8" t="s">
        <v>100</v>
      </c>
      <c r="B65" s="8" t="s">
        <v>101</v>
      </c>
      <c r="C65" s="8" t="s">
        <v>70</v>
      </c>
      <c r="D65" s="8">
        <v>7</v>
      </c>
      <c r="E65" s="8">
        <v>36</v>
      </c>
      <c r="F65" s="8">
        <v>1</v>
      </c>
      <c r="G65" s="8">
        <v>1</v>
      </c>
      <c r="H65" s="8" t="s">
        <v>34</v>
      </c>
      <c r="I65" s="8">
        <v>15</v>
      </c>
      <c r="J65" s="8">
        <v>0</v>
      </c>
      <c r="K65" s="8">
        <f>$I65+$J65*(1-1)</f>
        <v>15</v>
      </c>
      <c r="L65" s="8" t="s">
        <v>31</v>
      </c>
      <c r="M65" s="8" t="s">
        <v>31</v>
      </c>
      <c r="N65" s="8" t="s">
        <v>31</v>
      </c>
      <c r="O65" s="8" t="s">
        <v>31</v>
      </c>
      <c r="P65" s="8" t="s">
        <v>31</v>
      </c>
      <c r="Q65" s="8">
        <f>$I65+$J65*($G65-1)</f>
        <v>15</v>
      </c>
      <c r="R65" s="8" t="s">
        <v>31</v>
      </c>
      <c r="S65" s="8" t="s">
        <v>102</v>
      </c>
    </row>
    <row r="66" spans="1:19" ht="25.5" x14ac:dyDescent="0.2">
      <c r="A66" s="8" t="s">
        <v>103</v>
      </c>
      <c r="B66" s="8" t="s">
        <v>101</v>
      </c>
      <c r="C66" s="8" t="s">
        <v>70</v>
      </c>
      <c r="D66" s="8">
        <v>2</v>
      </c>
      <c r="E66" s="8">
        <v>6</v>
      </c>
      <c r="F66" s="8">
        <v>5</v>
      </c>
      <c r="G66" s="8">
        <v>5</v>
      </c>
      <c r="H66" s="8" t="s">
        <v>62</v>
      </c>
      <c r="I66" s="8" t="s">
        <v>30</v>
      </c>
      <c r="J66" s="8" t="s">
        <v>30</v>
      </c>
      <c r="K66" s="8" t="s">
        <v>31</v>
      </c>
      <c r="L66" s="8" t="s">
        <v>31</v>
      </c>
      <c r="M66" s="8" t="s">
        <v>31</v>
      </c>
      <c r="N66" s="8" t="s">
        <v>31</v>
      </c>
      <c r="O66" s="8" t="s">
        <v>31</v>
      </c>
      <c r="P66" s="8" t="s">
        <v>31</v>
      </c>
      <c r="Q66" s="8" t="s">
        <v>31</v>
      </c>
      <c r="R66" s="8" t="s">
        <v>31</v>
      </c>
      <c r="S66" s="8" t="s">
        <v>104</v>
      </c>
    </row>
    <row r="67" spans="1:19" ht="25.5" x14ac:dyDescent="0.2">
      <c r="A67" s="8" t="s">
        <v>105</v>
      </c>
      <c r="B67" s="8" t="s">
        <v>101</v>
      </c>
      <c r="C67" s="8" t="s">
        <v>70</v>
      </c>
      <c r="D67" s="8">
        <v>3</v>
      </c>
      <c r="E67" s="8">
        <v>12</v>
      </c>
      <c r="F67" s="8">
        <v>5</v>
      </c>
      <c r="G67" s="8">
        <v>5</v>
      </c>
      <c r="H67" s="8" t="s">
        <v>106</v>
      </c>
      <c r="I67" s="8">
        <v>3</v>
      </c>
      <c r="J67" s="8">
        <v>3</v>
      </c>
      <c r="K67" s="8">
        <f>$I67+$J67*(1-1)</f>
        <v>3</v>
      </c>
      <c r="L67" s="8">
        <f>$I67+$J67*(2-1)</f>
        <v>6</v>
      </c>
      <c r="M67" s="8">
        <f>$I67+$J67*(3-1)</f>
        <v>9</v>
      </c>
      <c r="N67" s="8">
        <f>$I67+$J67*(5-1)</f>
        <v>15</v>
      </c>
      <c r="O67" s="8" t="s">
        <v>31</v>
      </c>
      <c r="P67" s="8" t="s">
        <v>31</v>
      </c>
      <c r="Q67" s="8">
        <f>$I67+$J67*($G67-1)</f>
        <v>15</v>
      </c>
      <c r="R67" s="8" t="s">
        <v>31</v>
      </c>
      <c r="S67" s="8" t="s">
        <v>107</v>
      </c>
    </row>
    <row r="68" spans="1:19" x14ac:dyDescent="0.2">
      <c r="A68" s="8" t="s">
        <v>108</v>
      </c>
      <c r="B68" s="8" t="s">
        <v>101</v>
      </c>
      <c r="C68" s="8" t="s">
        <v>70</v>
      </c>
      <c r="D68" s="8">
        <v>7</v>
      </c>
      <c r="E68" s="8">
        <v>36</v>
      </c>
      <c r="F68" s="8">
        <v>1</v>
      </c>
      <c r="G68" s="8">
        <v>1</v>
      </c>
      <c r="H68" s="8" t="s">
        <v>109</v>
      </c>
      <c r="I68" s="8" t="s">
        <v>30</v>
      </c>
      <c r="J68" s="8" t="s">
        <v>30</v>
      </c>
      <c r="K68" s="8" t="s">
        <v>31</v>
      </c>
      <c r="L68" s="8" t="s">
        <v>31</v>
      </c>
      <c r="M68" s="8" t="s">
        <v>31</v>
      </c>
      <c r="N68" s="8" t="s">
        <v>31</v>
      </c>
      <c r="O68" s="8" t="s">
        <v>31</v>
      </c>
      <c r="P68" s="8" t="s">
        <v>31</v>
      </c>
      <c r="Q68" s="8" t="s">
        <v>31</v>
      </c>
      <c r="R68" s="8" t="s">
        <v>31</v>
      </c>
      <c r="S68" s="8" t="s">
        <v>110</v>
      </c>
    </row>
    <row r="69" spans="1:19" ht="25.5" x14ac:dyDescent="0.2">
      <c r="A69" s="8" t="s">
        <v>111</v>
      </c>
      <c r="B69" s="8" t="s">
        <v>101</v>
      </c>
      <c r="C69" s="8" t="s">
        <v>23</v>
      </c>
      <c r="D69" s="8">
        <v>2</v>
      </c>
      <c r="E69" s="8">
        <v>6</v>
      </c>
      <c r="F69" s="8">
        <v>5</v>
      </c>
      <c r="G69" s="8">
        <v>5</v>
      </c>
      <c r="H69" s="8" t="s">
        <v>50</v>
      </c>
      <c r="I69" s="8">
        <v>2</v>
      </c>
      <c r="J69" s="8">
        <v>2</v>
      </c>
      <c r="K69" s="8">
        <f>$I69+$J69*(1-1)</f>
        <v>2</v>
      </c>
      <c r="L69" s="8">
        <f>$I69+$J69*(2-1)</f>
        <v>4</v>
      </c>
      <c r="M69" s="8">
        <f>$I69+$J69*(3-1)</f>
        <v>6</v>
      </c>
      <c r="N69" s="8">
        <f>$I69+$J69*(5-1)</f>
        <v>10</v>
      </c>
      <c r="O69" s="8" t="s">
        <v>31</v>
      </c>
      <c r="P69" s="8" t="s">
        <v>31</v>
      </c>
      <c r="Q69" s="8">
        <f>$I69+$J69*($G69-1)</f>
        <v>10</v>
      </c>
      <c r="R69" s="8" t="s">
        <v>25</v>
      </c>
      <c r="S69" s="8" t="s">
        <v>51</v>
      </c>
    </row>
    <row r="70" spans="1:19" ht="25.5" x14ac:dyDescent="0.2">
      <c r="A70" s="8" t="s">
        <v>112</v>
      </c>
      <c r="B70" s="8" t="s">
        <v>101</v>
      </c>
      <c r="C70" s="8" t="s">
        <v>70</v>
      </c>
      <c r="D70" s="8">
        <v>7</v>
      </c>
      <c r="E70" s="8">
        <v>36</v>
      </c>
      <c r="F70" s="8">
        <v>1</v>
      </c>
      <c r="G70" s="8">
        <v>1</v>
      </c>
      <c r="H70" s="8" t="s">
        <v>113</v>
      </c>
      <c r="I70" s="8" t="s">
        <v>30</v>
      </c>
      <c r="J70" s="8" t="s">
        <v>30</v>
      </c>
      <c r="K70" s="8" t="s">
        <v>31</v>
      </c>
      <c r="L70" s="8" t="s">
        <v>31</v>
      </c>
      <c r="M70" s="8" t="s">
        <v>31</v>
      </c>
      <c r="N70" s="8" t="s">
        <v>31</v>
      </c>
      <c r="O70" s="8" t="s">
        <v>31</v>
      </c>
      <c r="P70" s="8" t="s">
        <v>31</v>
      </c>
      <c r="Q70" s="8" t="s">
        <v>31</v>
      </c>
      <c r="R70" s="8" t="s">
        <v>31</v>
      </c>
      <c r="S70" s="8" t="s">
        <v>114</v>
      </c>
    </row>
  </sheetData>
  <autoFilter ref="A4:S70" xr:uid="{4C9AE3DF-368C-48CA-8230-9A0C326DBCE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3245-7EC8-499A-A31F-A0CA076770F0}">
  <dimension ref="A1:L63"/>
  <sheetViews>
    <sheetView workbookViewId="0">
      <pane ySplit="4" topLeftCell="A5" activePane="bottomLeft" state="frozen"/>
      <selection pane="bottomLeft" activeCell="A5" sqref="A5"/>
    </sheetView>
  </sheetViews>
  <sheetFormatPr defaultRowHeight="12.75" x14ac:dyDescent="0.2"/>
  <cols>
    <col min="1" max="1" width="22.7109375" style="2" customWidth="1"/>
    <col min="2" max="2" width="13.7109375" style="2" customWidth="1"/>
    <col min="3" max="4" width="9.7109375" style="2" customWidth="1"/>
    <col min="5" max="5" width="10.7109375" style="2" customWidth="1"/>
    <col min="6" max="6" width="9.7109375" style="2" customWidth="1"/>
    <col min="7" max="8" width="10.7109375" style="2" customWidth="1"/>
    <col min="9" max="9" width="8.7109375" style="2" customWidth="1"/>
    <col min="10" max="10" width="48.7109375" style="2" customWidth="1"/>
    <col min="11" max="11" width="28.7109375" style="2" customWidth="1"/>
    <col min="12" max="12" width="22.7109375" style="2" customWidth="1"/>
    <col min="13" max="16384" width="9.140625" style="2"/>
  </cols>
  <sheetData>
    <row r="1" spans="1:12" ht="16.5" x14ac:dyDescent="0.25">
      <c r="A1" s="1" t="s">
        <v>115</v>
      </c>
    </row>
    <row r="2" spans="1:12" x14ac:dyDescent="0.2">
      <c r="A2" s="3" t="s">
        <v>116</v>
      </c>
    </row>
    <row r="4" spans="1:12" ht="32.1" customHeight="1" x14ac:dyDescent="0.2">
      <c r="A4" s="4" t="s">
        <v>117</v>
      </c>
      <c r="B4" s="4" t="s">
        <v>118</v>
      </c>
      <c r="C4" s="4" t="s">
        <v>119</v>
      </c>
      <c r="D4" s="4" t="s">
        <v>120</v>
      </c>
      <c r="E4" s="4" t="s">
        <v>8</v>
      </c>
      <c r="F4" s="4" t="s">
        <v>121</v>
      </c>
      <c r="G4" s="4" t="s">
        <v>122</v>
      </c>
      <c r="H4" s="4" t="s">
        <v>123</v>
      </c>
      <c r="I4" s="4" t="s">
        <v>124</v>
      </c>
      <c r="J4" s="4" t="s">
        <v>125</v>
      </c>
      <c r="K4" s="4" t="s">
        <v>126</v>
      </c>
      <c r="L4" s="4" t="s">
        <v>127</v>
      </c>
    </row>
    <row r="5" spans="1:12" x14ac:dyDescent="0.2">
      <c r="A5" s="8" t="s">
        <v>128</v>
      </c>
      <c r="B5" s="8" t="s">
        <v>129</v>
      </c>
      <c r="C5" s="8">
        <v>30</v>
      </c>
      <c r="D5" s="8">
        <v>98</v>
      </c>
      <c r="E5" s="8">
        <v>70</v>
      </c>
      <c r="F5" s="8">
        <v>149</v>
      </c>
      <c r="G5" s="8">
        <v>150</v>
      </c>
      <c r="H5" s="8">
        <v>6</v>
      </c>
      <c r="I5" s="8">
        <v>90</v>
      </c>
      <c r="J5" s="8" t="s">
        <v>130</v>
      </c>
      <c r="K5" s="8" t="s">
        <v>131</v>
      </c>
      <c r="L5" s="8" t="s">
        <v>132</v>
      </c>
    </row>
    <row r="6" spans="1:12" x14ac:dyDescent="0.2">
      <c r="A6" s="8" t="s">
        <v>133</v>
      </c>
      <c r="B6" s="8" t="s">
        <v>129</v>
      </c>
      <c r="C6" s="8">
        <v>6</v>
      </c>
      <c r="D6" s="8">
        <v>98</v>
      </c>
      <c r="E6" s="8">
        <v>94</v>
      </c>
      <c r="F6" s="8">
        <v>35</v>
      </c>
      <c r="G6" s="8">
        <v>35</v>
      </c>
      <c r="H6" s="8">
        <v>3</v>
      </c>
      <c r="I6" s="8">
        <v>15</v>
      </c>
      <c r="J6" s="8" t="s">
        <v>134</v>
      </c>
      <c r="K6" s="8" t="s">
        <v>131</v>
      </c>
      <c r="L6" s="8" t="s">
        <v>135</v>
      </c>
    </row>
    <row r="7" spans="1:12" x14ac:dyDescent="0.2">
      <c r="A7" s="8" t="s">
        <v>136</v>
      </c>
      <c r="B7" s="8" t="s">
        <v>129</v>
      </c>
      <c r="C7" s="8">
        <v>24</v>
      </c>
      <c r="D7" s="8">
        <v>98</v>
      </c>
      <c r="E7" s="8">
        <v>76</v>
      </c>
      <c r="F7" s="8">
        <v>0</v>
      </c>
      <c r="G7" s="8">
        <v>0</v>
      </c>
      <c r="H7" s="8" t="s">
        <v>31</v>
      </c>
      <c r="I7" s="8">
        <v>0</v>
      </c>
      <c r="J7" s="8" t="s">
        <v>134</v>
      </c>
      <c r="K7" s="8" t="s">
        <v>131</v>
      </c>
      <c r="L7" s="8" t="s">
        <v>137</v>
      </c>
    </row>
    <row r="8" spans="1:12" x14ac:dyDescent="0.2">
      <c r="A8" s="8" t="s">
        <v>138</v>
      </c>
      <c r="B8" s="8" t="s">
        <v>129</v>
      </c>
      <c r="C8" s="8">
        <v>24</v>
      </c>
      <c r="D8" s="8">
        <v>98</v>
      </c>
      <c r="E8" s="8">
        <v>76</v>
      </c>
      <c r="F8" s="8">
        <v>70</v>
      </c>
      <c r="G8" s="8">
        <v>25</v>
      </c>
      <c r="H8" s="8">
        <v>2</v>
      </c>
      <c r="I8" s="8">
        <v>14</v>
      </c>
      <c r="J8" s="8" t="s">
        <v>139</v>
      </c>
      <c r="K8" s="8" t="s">
        <v>140</v>
      </c>
      <c r="L8" s="8" t="s">
        <v>141</v>
      </c>
    </row>
    <row r="9" spans="1:12" x14ac:dyDescent="0.2">
      <c r="A9" s="8" t="s">
        <v>142</v>
      </c>
      <c r="B9" s="8" t="s">
        <v>129</v>
      </c>
      <c r="C9" s="8">
        <v>18</v>
      </c>
      <c r="D9" s="8">
        <v>98</v>
      </c>
      <c r="E9" s="8">
        <v>82</v>
      </c>
      <c r="F9" s="8">
        <v>34</v>
      </c>
      <c r="G9" s="8">
        <v>24</v>
      </c>
      <c r="H9" s="8">
        <v>1</v>
      </c>
      <c r="I9" s="8">
        <v>12</v>
      </c>
      <c r="J9" s="8" t="s">
        <v>143</v>
      </c>
      <c r="K9" s="8" t="s">
        <v>131</v>
      </c>
      <c r="L9" s="8" t="s">
        <v>144</v>
      </c>
    </row>
    <row r="10" spans="1:12" x14ac:dyDescent="0.2">
      <c r="A10" s="8" t="s">
        <v>145</v>
      </c>
      <c r="B10" s="8" t="s">
        <v>129</v>
      </c>
      <c r="C10" s="8">
        <v>18</v>
      </c>
      <c r="D10" s="8">
        <v>98</v>
      </c>
      <c r="E10" s="8">
        <v>82</v>
      </c>
      <c r="F10" s="8">
        <v>54</v>
      </c>
      <c r="G10" s="8">
        <v>30</v>
      </c>
      <c r="H10" s="8">
        <v>1</v>
      </c>
      <c r="I10" s="8">
        <v>18</v>
      </c>
      <c r="J10" s="8" t="s">
        <v>146</v>
      </c>
      <c r="K10" s="8" t="s">
        <v>131</v>
      </c>
      <c r="L10" s="8" t="s">
        <v>147</v>
      </c>
    </row>
    <row r="11" spans="1:12" x14ac:dyDescent="0.2">
      <c r="A11" s="8" t="s">
        <v>148</v>
      </c>
      <c r="B11" s="8" t="s">
        <v>129</v>
      </c>
      <c r="C11" s="8">
        <v>1</v>
      </c>
      <c r="D11" s="8">
        <v>98</v>
      </c>
      <c r="E11" s="8">
        <v>98</v>
      </c>
      <c r="F11" s="8">
        <v>25</v>
      </c>
      <c r="G11" s="8">
        <v>6</v>
      </c>
      <c r="H11" s="8">
        <v>1</v>
      </c>
      <c r="I11" s="8">
        <v>6</v>
      </c>
      <c r="J11" s="8" t="s">
        <v>149</v>
      </c>
      <c r="K11" s="8" t="s">
        <v>131</v>
      </c>
      <c r="L11" s="8" t="s">
        <v>150</v>
      </c>
    </row>
    <row r="12" spans="1:12" x14ac:dyDescent="0.2">
      <c r="A12" s="8" t="s">
        <v>151</v>
      </c>
      <c r="B12" s="8" t="s">
        <v>129</v>
      </c>
      <c r="C12" s="8">
        <v>18</v>
      </c>
      <c r="D12" s="8">
        <v>98</v>
      </c>
      <c r="E12" s="8">
        <v>82</v>
      </c>
      <c r="F12" s="8">
        <v>0</v>
      </c>
      <c r="G12" s="8">
        <v>0</v>
      </c>
      <c r="H12" s="8" t="s">
        <v>31</v>
      </c>
      <c r="I12" s="8">
        <v>0</v>
      </c>
      <c r="J12" s="8" t="s">
        <v>134</v>
      </c>
      <c r="K12" s="8" t="s">
        <v>131</v>
      </c>
      <c r="L12" s="8" t="s">
        <v>137</v>
      </c>
    </row>
    <row r="13" spans="1:12" x14ac:dyDescent="0.2">
      <c r="A13" s="8" t="s">
        <v>152</v>
      </c>
      <c r="B13" s="8" t="s">
        <v>129</v>
      </c>
      <c r="C13" s="8">
        <v>18</v>
      </c>
      <c r="D13" s="8">
        <v>98</v>
      </c>
      <c r="E13" s="8">
        <v>82</v>
      </c>
      <c r="F13" s="8">
        <v>68</v>
      </c>
      <c r="G13" s="8">
        <v>35</v>
      </c>
      <c r="H13" s="8">
        <v>2</v>
      </c>
      <c r="I13" s="8">
        <v>20</v>
      </c>
      <c r="J13" s="8" t="s">
        <v>153</v>
      </c>
      <c r="K13" s="8" t="s">
        <v>154</v>
      </c>
      <c r="L13" s="8" t="s">
        <v>155</v>
      </c>
    </row>
    <row r="14" spans="1:12" x14ac:dyDescent="0.2">
      <c r="A14" s="8" t="s">
        <v>156</v>
      </c>
      <c r="B14" s="8" t="s">
        <v>129</v>
      </c>
      <c r="C14" s="8">
        <v>30</v>
      </c>
      <c r="D14" s="8">
        <v>98</v>
      </c>
      <c r="E14" s="8">
        <v>70</v>
      </c>
      <c r="F14" s="8">
        <v>93</v>
      </c>
      <c r="G14" s="8">
        <v>100</v>
      </c>
      <c r="H14" s="8" t="s">
        <v>31</v>
      </c>
      <c r="I14" s="8">
        <v>100</v>
      </c>
      <c r="J14" s="8" t="s">
        <v>134</v>
      </c>
      <c r="K14" s="8" t="s">
        <v>131</v>
      </c>
      <c r="L14" s="8" t="s">
        <v>157</v>
      </c>
    </row>
    <row r="15" spans="1:12" x14ac:dyDescent="0.2">
      <c r="A15" s="8" t="s">
        <v>158</v>
      </c>
      <c r="B15" s="8" t="s">
        <v>129</v>
      </c>
      <c r="C15" s="8">
        <v>6</v>
      </c>
      <c r="D15" s="8">
        <v>98</v>
      </c>
      <c r="E15" s="8">
        <v>94</v>
      </c>
      <c r="F15" s="8">
        <v>27</v>
      </c>
      <c r="G15" s="8">
        <v>28</v>
      </c>
      <c r="H15" s="8">
        <v>2</v>
      </c>
      <c r="I15" s="8">
        <v>16</v>
      </c>
      <c r="J15" s="8" t="s">
        <v>159</v>
      </c>
      <c r="K15" s="8" t="s">
        <v>131</v>
      </c>
      <c r="L15" s="8" t="s">
        <v>160</v>
      </c>
    </row>
    <row r="16" spans="1:12" ht="25.5" x14ac:dyDescent="0.2">
      <c r="A16" s="8" t="s">
        <v>161</v>
      </c>
      <c r="B16" s="8" t="s">
        <v>129</v>
      </c>
      <c r="C16" s="8">
        <v>18</v>
      </c>
      <c r="D16" s="8">
        <v>98</v>
      </c>
      <c r="E16" s="8">
        <v>82</v>
      </c>
      <c r="F16" s="8">
        <v>48</v>
      </c>
      <c r="G16" s="8">
        <v>16</v>
      </c>
      <c r="H16" s="8">
        <v>1</v>
      </c>
      <c r="I16" s="8">
        <v>10</v>
      </c>
      <c r="J16" s="8" t="s">
        <v>162</v>
      </c>
      <c r="K16" s="8" t="s">
        <v>154</v>
      </c>
      <c r="L16" s="8" t="s">
        <v>163</v>
      </c>
    </row>
    <row r="17" spans="1:12" x14ac:dyDescent="0.2">
      <c r="A17" s="8" t="s">
        <v>164</v>
      </c>
      <c r="B17" s="8" t="s">
        <v>129</v>
      </c>
      <c r="C17" s="8">
        <v>1</v>
      </c>
      <c r="D17" s="8">
        <v>98</v>
      </c>
      <c r="E17" s="8">
        <v>98</v>
      </c>
      <c r="F17" s="8">
        <v>15</v>
      </c>
      <c r="G17" s="8">
        <v>6</v>
      </c>
      <c r="H17" s="8">
        <v>1</v>
      </c>
      <c r="I17" s="8">
        <v>3</v>
      </c>
      <c r="J17" s="8" t="s">
        <v>165</v>
      </c>
      <c r="K17" s="8" t="s">
        <v>166</v>
      </c>
      <c r="L17" s="8" t="s">
        <v>167</v>
      </c>
    </row>
    <row r="18" spans="1:12" x14ac:dyDescent="0.2">
      <c r="A18" s="8" t="s">
        <v>168</v>
      </c>
      <c r="B18" s="8" t="s">
        <v>129</v>
      </c>
      <c r="C18" s="8">
        <v>18</v>
      </c>
      <c r="D18" s="8">
        <v>98</v>
      </c>
      <c r="E18" s="8">
        <v>82</v>
      </c>
      <c r="F18" s="8">
        <v>54</v>
      </c>
      <c r="G18" s="8">
        <v>35</v>
      </c>
      <c r="H18" s="8">
        <v>3</v>
      </c>
      <c r="I18" s="8">
        <v>20</v>
      </c>
      <c r="J18" s="8" t="s">
        <v>169</v>
      </c>
      <c r="K18" s="8" t="s">
        <v>131</v>
      </c>
      <c r="L18" s="8" t="s">
        <v>170</v>
      </c>
    </row>
    <row r="19" spans="1:12" x14ac:dyDescent="0.2">
      <c r="A19" s="8" t="s">
        <v>171</v>
      </c>
      <c r="B19" s="8" t="s">
        <v>129</v>
      </c>
      <c r="C19" s="8">
        <v>12</v>
      </c>
      <c r="D19" s="8">
        <v>98</v>
      </c>
      <c r="E19" s="8">
        <v>88</v>
      </c>
      <c r="F19" s="8">
        <v>33</v>
      </c>
      <c r="G19" s="8">
        <v>30</v>
      </c>
      <c r="H19" s="8">
        <v>2</v>
      </c>
      <c r="I19" s="8">
        <v>16</v>
      </c>
      <c r="J19" s="8" t="s">
        <v>172</v>
      </c>
      <c r="K19" s="8" t="s">
        <v>154</v>
      </c>
      <c r="L19" s="8" t="s">
        <v>173</v>
      </c>
    </row>
    <row r="20" spans="1:12" x14ac:dyDescent="0.2">
      <c r="A20" s="8" t="s">
        <v>174</v>
      </c>
      <c r="B20" s="8" t="s">
        <v>129</v>
      </c>
      <c r="C20" s="8">
        <v>24</v>
      </c>
      <c r="D20" s="8">
        <v>98</v>
      </c>
      <c r="E20" s="8">
        <v>76</v>
      </c>
      <c r="F20" s="8">
        <v>81</v>
      </c>
      <c r="G20" s="8">
        <v>100</v>
      </c>
      <c r="H20" s="8">
        <v>6</v>
      </c>
      <c r="I20" s="8">
        <v>60</v>
      </c>
      <c r="J20" s="8" t="s">
        <v>175</v>
      </c>
      <c r="K20" s="8" t="s">
        <v>131</v>
      </c>
      <c r="L20" s="8" t="s">
        <v>176</v>
      </c>
    </row>
    <row r="21" spans="1:12" ht="25.5" x14ac:dyDescent="0.2">
      <c r="A21" s="8" t="s">
        <v>177</v>
      </c>
      <c r="B21" s="8" t="s">
        <v>129</v>
      </c>
      <c r="C21" s="8">
        <v>18</v>
      </c>
      <c r="D21" s="8">
        <v>98</v>
      </c>
      <c r="E21" s="8">
        <v>82</v>
      </c>
      <c r="F21" s="8">
        <v>61</v>
      </c>
      <c r="G21" s="8">
        <v>50</v>
      </c>
      <c r="H21" s="8">
        <v>2</v>
      </c>
      <c r="I21" s="8">
        <v>30</v>
      </c>
      <c r="J21" s="8" t="s">
        <v>178</v>
      </c>
      <c r="K21" s="8" t="s">
        <v>154</v>
      </c>
      <c r="L21" s="8" t="s">
        <v>179</v>
      </c>
    </row>
    <row r="22" spans="1:12" x14ac:dyDescent="0.2">
      <c r="A22" s="8" t="s">
        <v>180</v>
      </c>
      <c r="B22" s="8" t="s">
        <v>129</v>
      </c>
      <c r="C22" s="8">
        <v>1</v>
      </c>
      <c r="D22" s="8">
        <v>98</v>
      </c>
      <c r="E22" s="8">
        <v>98</v>
      </c>
      <c r="F22" s="8">
        <v>17</v>
      </c>
      <c r="G22" s="8">
        <v>5</v>
      </c>
      <c r="H22" s="8">
        <v>3</v>
      </c>
      <c r="I22" s="8">
        <v>1</v>
      </c>
      <c r="J22" s="8" t="s">
        <v>181</v>
      </c>
      <c r="K22" s="8" t="s">
        <v>182</v>
      </c>
      <c r="L22" s="8" t="s">
        <v>183</v>
      </c>
    </row>
    <row r="23" spans="1:12" x14ac:dyDescent="0.2">
      <c r="A23" s="8" t="s">
        <v>184</v>
      </c>
      <c r="B23" s="8" t="s">
        <v>129</v>
      </c>
      <c r="C23" s="8">
        <v>1</v>
      </c>
      <c r="D23" s="8">
        <v>98</v>
      </c>
      <c r="E23" s="8">
        <v>98</v>
      </c>
      <c r="F23" s="8">
        <v>17</v>
      </c>
      <c r="G23" s="8">
        <v>5</v>
      </c>
      <c r="H23" s="8">
        <v>3</v>
      </c>
      <c r="I23" s="8">
        <v>1</v>
      </c>
      <c r="J23" s="8" t="s">
        <v>181</v>
      </c>
      <c r="K23" s="8" t="s">
        <v>182</v>
      </c>
      <c r="L23" s="8" t="s">
        <v>185</v>
      </c>
    </row>
    <row r="24" spans="1:12" x14ac:dyDescent="0.2">
      <c r="A24" s="8" t="s">
        <v>186</v>
      </c>
      <c r="B24" s="8" t="s">
        <v>129</v>
      </c>
      <c r="C24" s="8">
        <v>1</v>
      </c>
      <c r="D24" s="8">
        <v>98</v>
      </c>
      <c r="E24" s="8">
        <v>98</v>
      </c>
      <c r="F24" s="8">
        <v>20</v>
      </c>
      <c r="G24" s="8">
        <v>7</v>
      </c>
      <c r="H24" s="8">
        <v>1</v>
      </c>
      <c r="I24" s="8">
        <v>3</v>
      </c>
      <c r="J24" s="8" t="s">
        <v>187</v>
      </c>
      <c r="K24" s="8" t="s">
        <v>131</v>
      </c>
      <c r="L24" s="8" t="s">
        <v>188</v>
      </c>
    </row>
    <row r="25" spans="1:12" ht="25.5" x14ac:dyDescent="0.2">
      <c r="A25" s="8" t="s">
        <v>189</v>
      </c>
      <c r="B25" s="8" t="s">
        <v>129</v>
      </c>
      <c r="C25" s="8">
        <v>24</v>
      </c>
      <c r="D25" s="8">
        <v>98</v>
      </c>
      <c r="E25" s="8">
        <v>76</v>
      </c>
      <c r="F25" s="8">
        <v>87</v>
      </c>
      <c r="G25" s="8">
        <v>60</v>
      </c>
      <c r="H25" s="8">
        <v>3</v>
      </c>
      <c r="I25" s="8">
        <v>35</v>
      </c>
      <c r="J25" s="8" t="s">
        <v>190</v>
      </c>
      <c r="K25" s="8" t="s">
        <v>154</v>
      </c>
      <c r="L25" s="8" t="s">
        <v>191</v>
      </c>
    </row>
    <row r="26" spans="1:12" x14ac:dyDescent="0.2">
      <c r="A26" s="8" t="s">
        <v>192</v>
      </c>
      <c r="B26" s="8" t="s">
        <v>129</v>
      </c>
      <c r="C26" s="8">
        <v>6</v>
      </c>
      <c r="D26" s="8">
        <v>98</v>
      </c>
      <c r="E26" s="8">
        <v>94</v>
      </c>
      <c r="F26" s="8">
        <v>20</v>
      </c>
      <c r="G26" s="8">
        <v>11</v>
      </c>
      <c r="H26" s="8">
        <v>1</v>
      </c>
      <c r="I26" s="8">
        <v>6</v>
      </c>
      <c r="J26" s="8" t="s">
        <v>193</v>
      </c>
      <c r="K26" s="8" t="s">
        <v>131</v>
      </c>
      <c r="L26" s="8" t="s">
        <v>194</v>
      </c>
    </row>
    <row r="27" spans="1:12" x14ac:dyDescent="0.2">
      <c r="A27" s="8" t="s">
        <v>195</v>
      </c>
      <c r="B27" s="8" t="s">
        <v>129</v>
      </c>
      <c r="C27" s="8">
        <v>12</v>
      </c>
      <c r="D27" s="8">
        <v>98</v>
      </c>
      <c r="E27" s="8">
        <v>88</v>
      </c>
      <c r="F27" s="8">
        <v>36</v>
      </c>
      <c r="G27" s="8">
        <v>40</v>
      </c>
      <c r="H27" s="8">
        <v>5</v>
      </c>
      <c r="I27" s="8">
        <v>20</v>
      </c>
      <c r="J27" s="8" t="s">
        <v>134</v>
      </c>
      <c r="K27" s="8" t="s">
        <v>131</v>
      </c>
      <c r="L27" s="8" t="s">
        <v>196</v>
      </c>
    </row>
    <row r="28" spans="1:12" x14ac:dyDescent="0.2">
      <c r="A28" s="8" t="s">
        <v>197</v>
      </c>
      <c r="B28" s="8" t="s">
        <v>129</v>
      </c>
      <c r="C28" s="8">
        <v>18</v>
      </c>
      <c r="D28" s="8">
        <v>98</v>
      </c>
      <c r="E28" s="8">
        <v>82</v>
      </c>
      <c r="F28" s="8">
        <v>0</v>
      </c>
      <c r="G28" s="8">
        <v>0</v>
      </c>
      <c r="H28" s="8" t="s">
        <v>31</v>
      </c>
      <c r="I28" s="8">
        <v>0</v>
      </c>
      <c r="J28" s="8" t="s">
        <v>134</v>
      </c>
      <c r="K28" s="8" t="s">
        <v>131</v>
      </c>
      <c r="L28" s="8" t="s">
        <v>137</v>
      </c>
    </row>
    <row r="29" spans="1:12" x14ac:dyDescent="0.2">
      <c r="A29" s="8" t="s">
        <v>198</v>
      </c>
      <c r="B29" s="8" t="s">
        <v>129</v>
      </c>
      <c r="C29" s="8">
        <v>6</v>
      </c>
      <c r="D29" s="8">
        <v>98</v>
      </c>
      <c r="E29" s="8">
        <v>94</v>
      </c>
      <c r="F29" s="8">
        <v>20</v>
      </c>
      <c r="G29" s="8">
        <v>10</v>
      </c>
      <c r="H29" s="8">
        <v>1</v>
      </c>
      <c r="I29" s="8">
        <v>6</v>
      </c>
      <c r="J29" s="8" t="s">
        <v>199</v>
      </c>
      <c r="K29" s="8" t="s">
        <v>131</v>
      </c>
      <c r="L29" s="8" t="s">
        <v>200</v>
      </c>
    </row>
    <row r="30" spans="1:12" ht="25.5" x14ac:dyDescent="0.2">
      <c r="A30" s="8" t="s">
        <v>201</v>
      </c>
      <c r="B30" s="8" t="s">
        <v>129</v>
      </c>
      <c r="C30" s="8">
        <v>6</v>
      </c>
      <c r="D30" s="8">
        <v>98</v>
      </c>
      <c r="E30" s="8">
        <v>94</v>
      </c>
      <c r="F30" s="8">
        <v>27</v>
      </c>
      <c r="G30" s="8">
        <v>28</v>
      </c>
      <c r="H30" s="8">
        <v>2</v>
      </c>
      <c r="I30" s="8">
        <v>16</v>
      </c>
      <c r="J30" s="8" t="s">
        <v>159</v>
      </c>
      <c r="K30" s="8" t="s">
        <v>131</v>
      </c>
      <c r="L30" s="8" t="s">
        <v>202</v>
      </c>
    </row>
    <row r="31" spans="1:12" x14ac:dyDescent="0.2">
      <c r="A31" s="8" t="s">
        <v>113</v>
      </c>
      <c r="B31" s="8" t="s">
        <v>129</v>
      </c>
      <c r="C31" s="8">
        <v>1</v>
      </c>
      <c r="D31" s="8">
        <v>98</v>
      </c>
      <c r="E31" s="8">
        <v>98</v>
      </c>
      <c r="F31" s="8">
        <v>17</v>
      </c>
      <c r="G31" s="8" t="s">
        <v>203</v>
      </c>
      <c r="H31" s="8">
        <v>3</v>
      </c>
      <c r="I31" s="8">
        <v>1</v>
      </c>
      <c r="J31" s="8" t="s">
        <v>134</v>
      </c>
      <c r="K31" s="8" t="s">
        <v>131</v>
      </c>
      <c r="L31" s="8" t="s">
        <v>204</v>
      </c>
    </row>
    <row r="32" spans="1:12" x14ac:dyDescent="0.2">
      <c r="A32" s="8" t="s">
        <v>205</v>
      </c>
      <c r="B32" s="8" t="s">
        <v>129</v>
      </c>
      <c r="C32" s="8">
        <v>12</v>
      </c>
      <c r="D32" s="8">
        <v>98</v>
      </c>
      <c r="E32" s="8">
        <v>88</v>
      </c>
      <c r="F32" s="8">
        <v>25</v>
      </c>
      <c r="G32" s="8">
        <v>33</v>
      </c>
      <c r="H32" s="8" t="s">
        <v>31</v>
      </c>
      <c r="I32" s="8">
        <v>33</v>
      </c>
      <c r="J32" s="8" t="s">
        <v>134</v>
      </c>
      <c r="K32" s="8" t="s">
        <v>131</v>
      </c>
      <c r="L32" s="8" t="s">
        <v>206</v>
      </c>
    </row>
    <row r="33" spans="1:12" ht="25.5" x14ac:dyDescent="0.2">
      <c r="A33" s="8" t="s">
        <v>207</v>
      </c>
      <c r="B33" s="8" t="s">
        <v>129</v>
      </c>
      <c r="C33" s="8">
        <v>24</v>
      </c>
      <c r="D33" s="8">
        <v>98</v>
      </c>
      <c r="E33" s="8">
        <v>76</v>
      </c>
      <c r="F33" s="8">
        <v>87</v>
      </c>
      <c r="G33" s="8">
        <v>60</v>
      </c>
      <c r="H33" s="8">
        <v>3</v>
      </c>
      <c r="I33" s="8">
        <v>35</v>
      </c>
      <c r="J33" s="8" t="s">
        <v>190</v>
      </c>
      <c r="K33" s="8" t="s">
        <v>154</v>
      </c>
      <c r="L33" s="8" t="s">
        <v>208</v>
      </c>
    </row>
    <row r="34" spans="1:12" x14ac:dyDescent="0.2">
      <c r="A34" s="8" t="s">
        <v>209</v>
      </c>
      <c r="B34" s="8" t="s">
        <v>129</v>
      </c>
      <c r="C34" s="8">
        <v>18</v>
      </c>
      <c r="D34" s="8">
        <v>98</v>
      </c>
      <c r="E34" s="8">
        <v>82</v>
      </c>
      <c r="F34" s="8">
        <v>39</v>
      </c>
      <c r="G34" s="8">
        <v>12</v>
      </c>
      <c r="H34" s="8">
        <v>2</v>
      </c>
      <c r="I34" s="8">
        <v>4</v>
      </c>
      <c r="J34" s="8" t="s">
        <v>134</v>
      </c>
      <c r="K34" s="8" t="s">
        <v>131</v>
      </c>
      <c r="L34" s="8" t="s">
        <v>210</v>
      </c>
    </row>
    <row r="35" spans="1:12" x14ac:dyDescent="0.2">
      <c r="A35" s="8" t="s">
        <v>211</v>
      </c>
      <c r="B35" s="8" t="s">
        <v>129</v>
      </c>
      <c r="C35" s="8">
        <v>6</v>
      </c>
      <c r="D35" s="8">
        <v>98</v>
      </c>
      <c r="E35" s="8">
        <v>94</v>
      </c>
      <c r="F35" s="8">
        <v>25</v>
      </c>
      <c r="G35" s="8">
        <v>35</v>
      </c>
      <c r="H35" s="8">
        <v>3</v>
      </c>
      <c r="I35" s="8">
        <v>15</v>
      </c>
      <c r="J35" s="8" t="s">
        <v>134</v>
      </c>
      <c r="K35" s="8" t="s">
        <v>131</v>
      </c>
      <c r="L35" s="8" t="s">
        <v>212</v>
      </c>
    </row>
    <row r="36" spans="1:12" x14ac:dyDescent="0.2">
      <c r="A36" s="8" t="s">
        <v>213</v>
      </c>
      <c r="B36" s="8" t="s">
        <v>129</v>
      </c>
      <c r="C36" s="8">
        <v>12</v>
      </c>
      <c r="D36" s="8">
        <v>98</v>
      </c>
      <c r="E36" s="8">
        <v>88</v>
      </c>
      <c r="F36" s="8">
        <v>30</v>
      </c>
      <c r="G36" s="8">
        <v>20</v>
      </c>
      <c r="H36" s="8" t="s">
        <v>31</v>
      </c>
      <c r="I36" s="8">
        <v>20</v>
      </c>
      <c r="J36" s="8" t="s">
        <v>134</v>
      </c>
      <c r="K36" s="8" t="s">
        <v>131</v>
      </c>
      <c r="L36" s="8" t="s">
        <v>214</v>
      </c>
    </row>
    <row r="37" spans="1:12" x14ac:dyDescent="0.2">
      <c r="A37" s="8" t="s">
        <v>215</v>
      </c>
      <c r="B37" s="8" t="s">
        <v>129</v>
      </c>
      <c r="C37" s="8">
        <v>12</v>
      </c>
      <c r="D37" s="8">
        <v>98</v>
      </c>
      <c r="E37" s="8">
        <v>88</v>
      </c>
      <c r="F37" s="8">
        <v>27</v>
      </c>
      <c r="G37" s="8">
        <v>28</v>
      </c>
      <c r="H37" s="8">
        <v>2</v>
      </c>
      <c r="I37" s="8">
        <v>16</v>
      </c>
      <c r="J37" s="8" t="s">
        <v>159</v>
      </c>
      <c r="K37" s="8" t="s">
        <v>131</v>
      </c>
      <c r="L37" s="8" t="s">
        <v>216</v>
      </c>
    </row>
    <row r="38" spans="1:12" ht="25.5" x14ac:dyDescent="0.2">
      <c r="A38" s="8" t="s">
        <v>217</v>
      </c>
      <c r="B38" s="8" t="s">
        <v>129</v>
      </c>
      <c r="C38" s="8">
        <v>24</v>
      </c>
      <c r="D38" s="8">
        <v>98</v>
      </c>
      <c r="E38" s="8">
        <v>76</v>
      </c>
      <c r="F38" s="8">
        <v>48</v>
      </c>
      <c r="G38" s="8" t="s">
        <v>203</v>
      </c>
      <c r="H38" s="8">
        <v>1</v>
      </c>
      <c r="I38" s="8">
        <v>10</v>
      </c>
      <c r="J38" s="8" t="s">
        <v>162</v>
      </c>
      <c r="K38" s="8" t="s">
        <v>154</v>
      </c>
      <c r="L38" s="8" t="s">
        <v>218</v>
      </c>
    </row>
    <row r="39" spans="1:12" ht="25.5" x14ac:dyDescent="0.2">
      <c r="A39" s="8" t="s">
        <v>219</v>
      </c>
      <c r="B39" s="8" t="s">
        <v>129</v>
      </c>
      <c r="C39" s="8">
        <v>24</v>
      </c>
      <c r="D39" s="8">
        <v>98</v>
      </c>
      <c r="E39" s="8">
        <v>76</v>
      </c>
      <c r="F39" s="8">
        <v>48</v>
      </c>
      <c r="G39" s="8" t="s">
        <v>203</v>
      </c>
      <c r="H39" s="8">
        <v>1</v>
      </c>
      <c r="I39" s="8">
        <v>10</v>
      </c>
      <c r="J39" s="8" t="s">
        <v>190</v>
      </c>
      <c r="K39" s="8" t="s">
        <v>154</v>
      </c>
      <c r="L39" s="8" t="s">
        <v>220</v>
      </c>
    </row>
    <row r="40" spans="1:12" x14ac:dyDescent="0.2">
      <c r="A40" s="8" t="s">
        <v>221</v>
      </c>
      <c r="B40" s="8" t="s">
        <v>129</v>
      </c>
      <c r="C40" s="8">
        <v>24</v>
      </c>
      <c r="D40" s="8">
        <v>98</v>
      </c>
      <c r="E40" s="8">
        <v>76</v>
      </c>
      <c r="F40" s="8">
        <v>48</v>
      </c>
      <c r="G40" s="8" t="s">
        <v>203</v>
      </c>
      <c r="H40" s="8">
        <v>1</v>
      </c>
      <c r="I40" s="8">
        <v>10</v>
      </c>
      <c r="J40" s="8" t="s">
        <v>199</v>
      </c>
      <c r="K40" s="8" t="s">
        <v>131</v>
      </c>
      <c r="L40" s="8" t="s">
        <v>222</v>
      </c>
    </row>
    <row r="41" spans="1:12" ht="25.5" x14ac:dyDescent="0.2">
      <c r="A41" s="8" t="s">
        <v>223</v>
      </c>
      <c r="B41" s="8" t="s">
        <v>129</v>
      </c>
      <c r="C41" s="8">
        <v>24</v>
      </c>
      <c r="D41" s="8">
        <v>98</v>
      </c>
      <c r="E41" s="8">
        <v>76</v>
      </c>
      <c r="F41" s="8">
        <v>48</v>
      </c>
      <c r="G41" s="8" t="s">
        <v>203</v>
      </c>
      <c r="H41" s="8">
        <v>1</v>
      </c>
      <c r="I41" s="8">
        <v>10</v>
      </c>
      <c r="J41" s="8" t="s">
        <v>190</v>
      </c>
      <c r="K41" s="8" t="s">
        <v>154</v>
      </c>
      <c r="L41" s="8" t="s">
        <v>224</v>
      </c>
    </row>
    <row r="42" spans="1:12" x14ac:dyDescent="0.2">
      <c r="A42" s="8" t="s">
        <v>225</v>
      </c>
      <c r="B42" s="8" t="s">
        <v>129</v>
      </c>
      <c r="C42" s="8">
        <v>24</v>
      </c>
      <c r="D42" s="8">
        <v>98</v>
      </c>
      <c r="E42" s="8">
        <v>76</v>
      </c>
      <c r="F42" s="8">
        <v>48</v>
      </c>
      <c r="G42" s="8" t="s">
        <v>203</v>
      </c>
      <c r="H42" s="8">
        <v>1</v>
      </c>
      <c r="I42" s="8">
        <v>10</v>
      </c>
      <c r="J42" s="8" t="s">
        <v>134</v>
      </c>
      <c r="K42" s="8" t="s">
        <v>131</v>
      </c>
      <c r="L42" s="8" t="s">
        <v>226</v>
      </c>
    </row>
    <row r="43" spans="1:12" x14ac:dyDescent="0.2">
      <c r="A43" s="8" t="s">
        <v>227</v>
      </c>
      <c r="B43" s="8" t="s">
        <v>129</v>
      </c>
      <c r="C43" s="8">
        <v>12</v>
      </c>
      <c r="D43" s="8">
        <v>98</v>
      </c>
      <c r="E43" s="8">
        <v>88</v>
      </c>
      <c r="F43" s="8">
        <v>51</v>
      </c>
      <c r="G43" s="8">
        <v>60</v>
      </c>
      <c r="H43" s="8">
        <v>3</v>
      </c>
      <c r="I43" s="8">
        <v>40</v>
      </c>
      <c r="J43" s="8" t="s">
        <v>134</v>
      </c>
      <c r="K43" s="8" t="s">
        <v>131</v>
      </c>
      <c r="L43" s="8" t="s">
        <v>228</v>
      </c>
    </row>
    <row r="44" spans="1:12" x14ac:dyDescent="0.2">
      <c r="A44" s="8" t="s">
        <v>229</v>
      </c>
      <c r="B44" s="8" t="s">
        <v>129</v>
      </c>
      <c r="C44" s="8">
        <v>1</v>
      </c>
      <c r="D44" s="8">
        <v>98</v>
      </c>
      <c r="E44" s="8">
        <v>98</v>
      </c>
      <c r="F44" s="8">
        <v>33</v>
      </c>
      <c r="G44" s="8">
        <v>15</v>
      </c>
      <c r="H44" s="8">
        <v>2</v>
      </c>
      <c r="I44" s="8">
        <v>8</v>
      </c>
      <c r="J44" s="8" t="s">
        <v>134</v>
      </c>
      <c r="K44" s="8" t="s">
        <v>131</v>
      </c>
      <c r="L44" s="8" t="s">
        <v>230</v>
      </c>
    </row>
    <row r="45" spans="1:12" x14ac:dyDescent="0.2">
      <c r="A45" s="8" t="s">
        <v>231</v>
      </c>
      <c r="B45" s="8" t="s">
        <v>129</v>
      </c>
      <c r="C45" s="8">
        <v>24</v>
      </c>
      <c r="D45" s="8">
        <v>98</v>
      </c>
      <c r="E45" s="8">
        <v>76</v>
      </c>
      <c r="F45" s="8">
        <v>105</v>
      </c>
      <c r="G45" s="8">
        <v>35</v>
      </c>
      <c r="H45" s="8">
        <v>3</v>
      </c>
      <c r="I45" s="8">
        <v>15</v>
      </c>
      <c r="J45" s="8" t="s">
        <v>134</v>
      </c>
      <c r="K45" s="8" t="s">
        <v>131</v>
      </c>
      <c r="L45" s="8" t="s">
        <v>232</v>
      </c>
    </row>
    <row r="46" spans="1:12" x14ac:dyDescent="0.2">
      <c r="A46" s="8" t="s">
        <v>233</v>
      </c>
      <c r="B46" s="8" t="s">
        <v>129</v>
      </c>
      <c r="C46" s="8">
        <v>18</v>
      </c>
      <c r="D46" s="8">
        <v>98</v>
      </c>
      <c r="E46" s="8">
        <v>82</v>
      </c>
      <c r="F46" s="8">
        <v>30</v>
      </c>
      <c r="G46" s="8" t="s">
        <v>203</v>
      </c>
      <c r="H46" s="8">
        <v>3</v>
      </c>
      <c r="I46" s="8">
        <v>1</v>
      </c>
      <c r="J46" s="8" t="s">
        <v>134</v>
      </c>
      <c r="K46" s="8" t="s">
        <v>131</v>
      </c>
      <c r="L46" s="8" t="s">
        <v>234</v>
      </c>
    </row>
    <row r="47" spans="1:12" x14ac:dyDescent="0.2">
      <c r="A47" s="8" t="s">
        <v>235</v>
      </c>
      <c r="B47" s="8" t="s">
        <v>129</v>
      </c>
      <c r="C47" s="8">
        <v>24</v>
      </c>
      <c r="D47" s="8">
        <v>98</v>
      </c>
      <c r="E47" s="8">
        <v>76</v>
      </c>
      <c r="F47" s="8">
        <v>45</v>
      </c>
      <c r="G47" s="8" t="s">
        <v>203</v>
      </c>
      <c r="H47" s="8">
        <v>3</v>
      </c>
      <c r="I47" s="8">
        <v>1</v>
      </c>
      <c r="J47" s="8" t="s">
        <v>134</v>
      </c>
      <c r="K47" s="8" t="s">
        <v>131</v>
      </c>
      <c r="L47" s="8" t="s">
        <v>236</v>
      </c>
    </row>
    <row r="48" spans="1:12" x14ac:dyDescent="0.2">
      <c r="A48" s="8" t="s">
        <v>237</v>
      </c>
      <c r="B48" s="8" t="s">
        <v>129</v>
      </c>
      <c r="C48" s="8">
        <v>6</v>
      </c>
      <c r="D48" s="8">
        <v>98</v>
      </c>
      <c r="E48" s="8">
        <v>94</v>
      </c>
      <c r="F48" s="8">
        <v>25</v>
      </c>
      <c r="G48" s="8">
        <v>35</v>
      </c>
      <c r="H48" s="8">
        <v>3</v>
      </c>
      <c r="I48" s="8">
        <v>18</v>
      </c>
      <c r="J48" s="8" t="s">
        <v>134</v>
      </c>
      <c r="K48" s="8" t="s">
        <v>131</v>
      </c>
      <c r="L48" s="8" t="s">
        <v>238</v>
      </c>
    </row>
    <row r="49" spans="1:12" x14ac:dyDescent="0.2">
      <c r="A49" s="8" t="s">
        <v>239</v>
      </c>
      <c r="B49" s="8" t="s">
        <v>240</v>
      </c>
      <c r="C49" s="8" t="s">
        <v>31</v>
      </c>
      <c r="D49" s="8">
        <v>98</v>
      </c>
      <c r="E49" s="8" t="s">
        <v>31</v>
      </c>
      <c r="F49" s="8">
        <v>0</v>
      </c>
      <c r="G49" s="8">
        <v>8</v>
      </c>
      <c r="H49" s="8" t="s">
        <v>31</v>
      </c>
      <c r="I49" s="8">
        <v>8</v>
      </c>
      <c r="J49" s="8" t="s">
        <v>134</v>
      </c>
      <c r="K49" s="8" t="s">
        <v>131</v>
      </c>
      <c r="L49" s="8" t="s">
        <v>137</v>
      </c>
    </row>
    <row r="50" spans="1:12" x14ac:dyDescent="0.2">
      <c r="A50" s="8" t="s">
        <v>241</v>
      </c>
      <c r="B50" s="8" t="s">
        <v>240</v>
      </c>
      <c r="C50" s="8" t="s">
        <v>31</v>
      </c>
      <c r="D50" s="8">
        <v>98</v>
      </c>
      <c r="E50" s="8" t="s">
        <v>31</v>
      </c>
      <c r="F50" s="8">
        <v>0</v>
      </c>
      <c r="G50" s="8">
        <v>10</v>
      </c>
      <c r="H50" s="8" t="s">
        <v>31</v>
      </c>
      <c r="I50" s="8">
        <v>10</v>
      </c>
      <c r="J50" s="8" t="s">
        <v>134</v>
      </c>
      <c r="K50" s="8" t="s">
        <v>131</v>
      </c>
      <c r="L50" s="8" t="s">
        <v>137</v>
      </c>
    </row>
    <row r="51" spans="1:12" x14ac:dyDescent="0.2">
      <c r="A51" s="8" t="s">
        <v>242</v>
      </c>
      <c r="B51" s="8" t="s">
        <v>240</v>
      </c>
      <c r="C51" s="8" t="s">
        <v>31</v>
      </c>
      <c r="D51" s="8">
        <v>98</v>
      </c>
      <c r="E51" s="8" t="s">
        <v>31</v>
      </c>
      <c r="F51" s="8">
        <v>0</v>
      </c>
      <c r="G51" s="8">
        <v>10</v>
      </c>
      <c r="H51" s="8" t="s">
        <v>31</v>
      </c>
      <c r="I51" s="8">
        <v>10</v>
      </c>
      <c r="J51" s="8" t="s">
        <v>134</v>
      </c>
      <c r="K51" s="8" t="s">
        <v>131</v>
      </c>
      <c r="L51" s="8" t="s">
        <v>137</v>
      </c>
    </row>
    <row r="52" spans="1:12" x14ac:dyDescent="0.2">
      <c r="A52" s="8" t="s">
        <v>243</v>
      </c>
      <c r="B52" s="8" t="s">
        <v>240</v>
      </c>
      <c r="C52" s="8" t="s">
        <v>31</v>
      </c>
      <c r="D52" s="8">
        <v>98</v>
      </c>
      <c r="E52" s="8" t="s">
        <v>31</v>
      </c>
      <c r="F52" s="8">
        <v>0</v>
      </c>
      <c r="G52" s="8">
        <v>15</v>
      </c>
      <c r="H52" s="8" t="s">
        <v>31</v>
      </c>
      <c r="I52" s="8">
        <v>15</v>
      </c>
      <c r="J52" s="8" t="s">
        <v>134</v>
      </c>
      <c r="K52" s="8" t="s">
        <v>131</v>
      </c>
      <c r="L52" s="8" t="s">
        <v>137</v>
      </c>
    </row>
    <row r="53" spans="1:12" x14ac:dyDescent="0.2">
      <c r="A53" s="8" t="s">
        <v>244</v>
      </c>
      <c r="B53" s="8" t="s">
        <v>240</v>
      </c>
      <c r="C53" s="8" t="s">
        <v>31</v>
      </c>
      <c r="D53" s="8">
        <v>98</v>
      </c>
      <c r="E53" s="8" t="s">
        <v>31</v>
      </c>
      <c r="F53" s="8">
        <v>0</v>
      </c>
      <c r="G53" s="8">
        <v>5</v>
      </c>
      <c r="H53" s="8" t="s">
        <v>31</v>
      </c>
      <c r="I53" s="8">
        <v>5</v>
      </c>
      <c r="J53" s="8" t="s">
        <v>134</v>
      </c>
      <c r="K53" s="8" t="s">
        <v>131</v>
      </c>
      <c r="L53" s="8" t="s">
        <v>137</v>
      </c>
    </row>
    <row r="54" spans="1:12" x14ac:dyDescent="0.2">
      <c r="A54" s="8" t="s">
        <v>245</v>
      </c>
      <c r="B54" s="8" t="s">
        <v>246</v>
      </c>
      <c r="C54" s="8" t="s">
        <v>31</v>
      </c>
      <c r="D54" s="8">
        <v>98</v>
      </c>
      <c r="E54" s="8" t="s">
        <v>31</v>
      </c>
      <c r="F54" s="8">
        <v>23</v>
      </c>
      <c r="G54" s="8">
        <v>13</v>
      </c>
      <c r="H54" s="8">
        <v>2</v>
      </c>
      <c r="I54" s="8">
        <v>1</v>
      </c>
      <c r="J54" s="8" t="s">
        <v>134</v>
      </c>
      <c r="K54" s="8" t="s">
        <v>131</v>
      </c>
      <c r="L54" s="8" t="s">
        <v>247</v>
      </c>
    </row>
    <row r="55" spans="1:12" x14ac:dyDescent="0.2">
      <c r="A55" s="8" t="s">
        <v>248</v>
      </c>
      <c r="B55" s="8" t="s">
        <v>246</v>
      </c>
      <c r="C55" s="8" t="s">
        <v>31</v>
      </c>
      <c r="D55" s="8">
        <v>98</v>
      </c>
      <c r="E55" s="8" t="s">
        <v>31</v>
      </c>
      <c r="F55" s="8">
        <v>255</v>
      </c>
      <c r="G55" s="8">
        <v>0</v>
      </c>
      <c r="H55" s="8" t="s">
        <v>31</v>
      </c>
      <c r="I55" s="8">
        <v>0</v>
      </c>
      <c r="J55" s="8" t="s">
        <v>134</v>
      </c>
      <c r="K55" s="8" t="s">
        <v>131</v>
      </c>
      <c r="L55" s="8" t="s">
        <v>249</v>
      </c>
    </row>
    <row r="56" spans="1:12" x14ac:dyDescent="0.2">
      <c r="A56" s="8" t="s">
        <v>250</v>
      </c>
      <c r="B56" s="8" t="s">
        <v>251</v>
      </c>
      <c r="C56" s="8" t="s">
        <v>31</v>
      </c>
      <c r="D56" s="8">
        <v>98</v>
      </c>
      <c r="E56" s="8" t="s">
        <v>31</v>
      </c>
      <c r="F56" s="8">
        <v>0</v>
      </c>
      <c r="G56" s="8">
        <v>0</v>
      </c>
      <c r="H56" s="8" t="s">
        <v>31</v>
      </c>
      <c r="I56" s="8">
        <v>0</v>
      </c>
      <c r="J56" s="8" t="s">
        <v>134</v>
      </c>
      <c r="K56" s="8" t="s">
        <v>131</v>
      </c>
      <c r="L56" s="8" t="s">
        <v>137</v>
      </c>
    </row>
    <row r="57" spans="1:12" x14ac:dyDescent="0.2">
      <c r="A57" s="8" t="s">
        <v>252</v>
      </c>
      <c r="B57" s="8" t="s">
        <v>246</v>
      </c>
      <c r="C57" s="8" t="s">
        <v>31</v>
      </c>
      <c r="D57" s="8">
        <v>98</v>
      </c>
      <c r="E57" s="8" t="s">
        <v>31</v>
      </c>
      <c r="F57" s="8">
        <v>0</v>
      </c>
      <c r="G57" s="8">
        <v>15</v>
      </c>
      <c r="H57" s="8">
        <v>1</v>
      </c>
      <c r="I57" s="8">
        <v>1</v>
      </c>
      <c r="J57" s="8" t="s">
        <v>134</v>
      </c>
      <c r="K57" s="8" t="s">
        <v>131</v>
      </c>
      <c r="L57" s="8" t="s">
        <v>253</v>
      </c>
    </row>
    <row r="58" spans="1:12" x14ac:dyDescent="0.2">
      <c r="A58" s="8" t="s">
        <v>254</v>
      </c>
      <c r="B58" s="8" t="s">
        <v>246</v>
      </c>
      <c r="C58" s="8" t="s">
        <v>31</v>
      </c>
      <c r="D58" s="8">
        <v>98</v>
      </c>
      <c r="E58" s="8" t="s">
        <v>31</v>
      </c>
      <c r="F58" s="8">
        <v>25</v>
      </c>
      <c r="G58" s="8">
        <v>15</v>
      </c>
      <c r="H58" s="8">
        <v>1</v>
      </c>
      <c r="I58" s="8">
        <v>1</v>
      </c>
      <c r="J58" s="8" t="s">
        <v>134</v>
      </c>
      <c r="K58" s="8" t="s">
        <v>131</v>
      </c>
      <c r="L58" s="8" t="s">
        <v>255</v>
      </c>
    </row>
    <row r="59" spans="1:12" x14ac:dyDescent="0.2">
      <c r="A59" s="8" t="s">
        <v>256</v>
      </c>
      <c r="B59" s="8" t="s">
        <v>240</v>
      </c>
      <c r="C59" s="8" t="s">
        <v>31</v>
      </c>
      <c r="D59" s="8">
        <v>98</v>
      </c>
      <c r="E59" s="8" t="s">
        <v>31</v>
      </c>
      <c r="F59" s="8">
        <v>0</v>
      </c>
      <c r="G59" s="8">
        <v>3</v>
      </c>
      <c r="H59" s="8" t="s">
        <v>31</v>
      </c>
      <c r="I59" s="8">
        <v>3</v>
      </c>
      <c r="J59" s="8" t="s">
        <v>134</v>
      </c>
      <c r="K59" s="8" t="s">
        <v>131</v>
      </c>
      <c r="L59" s="8" t="s">
        <v>137</v>
      </c>
    </row>
    <row r="60" spans="1:12" x14ac:dyDescent="0.2">
      <c r="A60" s="8" t="s">
        <v>257</v>
      </c>
      <c r="B60" s="8" t="s">
        <v>246</v>
      </c>
      <c r="C60" s="8" t="s">
        <v>31</v>
      </c>
      <c r="D60" s="8">
        <v>98</v>
      </c>
      <c r="E60" s="8" t="s">
        <v>31</v>
      </c>
      <c r="F60" s="8">
        <v>255</v>
      </c>
      <c r="G60" s="8">
        <v>0</v>
      </c>
      <c r="H60" s="8" t="s">
        <v>31</v>
      </c>
      <c r="I60" s="8">
        <v>0</v>
      </c>
      <c r="J60" s="8" t="s">
        <v>134</v>
      </c>
      <c r="K60" s="8" t="s">
        <v>131</v>
      </c>
      <c r="L60" s="8" t="s">
        <v>258</v>
      </c>
    </row>
    <row r="61" spans="1:12" x14ac:dyDescent="0.2">
      <c r="A61" s="8" t="s">
        <v>259</v>
      </c>
      <c r="B61" s="8" t="s">
        <v>260</v>
      </c>
      <c r="C61" s="8" t="s">
        <v>31</v>
      </c>
      <c r="D61" s="8">
        <v>98</v>
      </c>
      <c r="E61" s="8" t="s">
        <v>31</v>
      </c>
      <c r="F61" s="8">
        <v>20</v>
      </c>
      <c r="G61" s="8">
        <v>35</v>
      </c>
      <c r="H61" s="8">
        <v>3</v>
      </c>
      <c r="I61" s="8">
        <v>18</v>
      </c>
      <c r="J61" s="8" t="s">
        <v>134</v>
      </c>
      <c r="K61" s="8" t="s">
        <v>131</v>
      </c>
      <c r="L61" s="8" t="s">
        <v>261</v>
      </c>
    </row>
    <row r="62" spans="1:12" x14ac:dyDescent="0.2">
      <c r="A62" s="8" t="s">
        <v>262</v>
      </c>
      <c r="B62" s="8" t="s">
        <v>246</v>
      </c>
      <c r="C62" s="8" t="s">
        <v>31</v>
      </c>
      <c r="D62" s="8">
        <v>98</v>
      </c>
      <c r="E62" s="8" t="s">
        <v>31</v>
      </c>
      <c r="F62" s="8">
        <v>255</v>
      </c>
      <c r="G62" s="8">
        <v>0</v>
      </c>
      <c r="H62" s="8" t="s">
        <v>31</v>
      </c>
      <c r="I62" s="8">
        <v>0</v>
      </c>
      <c r="J62" s="8" t="s">
        <v>134</v>
      </c>
      <c r="K62" s="8" t="s">
        <v>131</v>
      </c>
      <c r="L62" s="8" t="s">
        <v>263</v>
      </c>
    </row>
    <row r="63" spans="1:12" x14ac:dyDescent="0.2">
      <c r="A63" s="8" t="s">
        <v>264</v>
      </c>
      <c r="B63" s="8" t="s">
        <v>240</v>
      </c>
      <c r="C63" s="8" t="s">
        <v>31</v>
      </c>
      <c r="D63" s="8">
        <v>98</v>
      </c>
      <c r="E63" s="8" t="s">
        <v>31</v>
      </c>
      <c r="F63" s="8">
        <v>0</v>
      </c>
      <c r="G63" s="8">
        <v>2</v>
      </c>
      <c r="H63" s="8" t="s">
        <v>31</v>
      </c>
      <c r="I63" s="8">
        <v>2</v>
      </c>
      <c r="J63" s="8" t="s">
        <v>134</v>
      </c>
      <c r="K63" s="8" t="s">
        <v>131</v>
      </c>
      <c r="L63" s="8" t="s">
        <v>137</v>
      </c>
    </row>
  </sheetData>
  <autoFilter ref="A4:L63" xr:uid="{F9353245-7EC8-499A-A31F-A0CA076770F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2724-F406-482B-AE88-D83C4CAB0161}">
  <dimension ref="A1:J277"/>
  <sheetViews>
    <sheetView workbookViewId="0">
      <pane ySplit="4" topLeftCell="A5" activePane="bottomLeft" state="frozen"/>
      <selection pane="bottomLeft" activeCell="A5" sqref="A5"/>
    </sheetView>
  </sheetViews>
  <sheetFormatPr defaultRowHeight="12.75" x14ac:dyDescent="0.2"/>
  <cols>
    <col min="1" max="1" width="26.7109375" style="2" customWidth="1"/>
    <col min="2" max="2" width="11.7109375" style="2" customWidth="1"/>
    <col min="3" max="3" width="9.7109375" style="2" customWidth="1"/>
    <col min="4" max="5" width="5.7109375" style="2" customWidth="1"/>
    <col min="6" max="6" width="9.7109375" style="2" customWidth="1"/>
    <col min="7" max="7" width="8.7109375" style="2" customWidth="1"/>
    <col min="8" max="8" width="7.7109375" style="2" customWidth="1"/>
    <col min="9" max="9" width="18.7109375" style="2" customWidth="1"/>
    <col min="10" max="10" width="90.7109375" style="2" customWidth="1"/>
    <col min="11" max="16384" width="9.140625" style="2"/>
  </cols>
  <sheetData>
    <row r="1" spans="1:10" ht="16.5" x14ac:dyDescent="0.25">
      <c r="A1" s="1" t="s">
        <v>265</v>
      </c>
    </row>
    <row r="2" spans="1:10" x14ac:dyDescent="0.2">
      <c r="A2" s="5" t="s">
        <v>266</v>
      </c>
    </row>
    <row r="4" spans="1:10" ht="32.1" customHeight="1" x14ac:dyDescent="0.2">
      <c r="A4" s="4" t="s">
        <v>2</v>
      </c>
      <c r="B4" s="4" t="s">
        <v>3</v>
      </c>
      <c r="C4" s="4" t="s">
        <v>4</v>
      </c>
      <c r="D4" s="4" t="s">
        <v>267</v>
      </c>
      <c r="E4" s="4" t="s">
        <v>5</v>
      </c>
      <c r="F4" s="4" t="s">
        <v>6</v>
      </c>
      <c r="G4" s="4" t="s">
        <v>7</v>
      </c>
      <c r="H4" s="4" t="s">
        <v>268</v>
      </c>
      <c r="I4" s="4" t="s">
        <v>269</v>
      </c>
      <c r="J4" s="4" t="s">
        <v>270</v>
      </c>
    </row>
    <row r="5" spans="1:10" x14ac:dyDescent="0.2">
      <c r="A5" s="8" t="s">
        <v>271</v>
      </c>
      <c r="B5" s="8" t="s">
        <v>69</v>
      </c>
      <c r="C5" s="8" t="s">
        <v>272</v>
      </c>
      <c r="D5" s="8">
        <v>1</v>
      </c>
      <c r="E5" s="8">
        <v>1</v>
      </c>
      <c r="F5" s="8">
        <v>1</v>
      </c>
      <c r="G5" s="8">
        <v>98</v>
      </c>
      <c r="H5" s="8" t="s">
        <v>273</v>
      </c>
      <c r="I5" s="8" t="s">
        <v>31</v>
      </c>
      <c r="J5" s="8" t="s">
        <v>274</v>
      </c>
    </row>
    <row r="6" spans="1:10" x14ac:dyDescent="0.2">
      <c r="A6" s="8" t="s">
        <v>275</v>
      </c>
      <c r="B6" s="8" t="s">
        <v>69</v>
      </c>
      <c r="C6" s="8" t="s">
        <v>272</v>
      </c>
      <c r="D6" s="8">
        <v>1</v>
      </c>
      <c r="E6" s="8">
        <v>2</v>
      </c>
      <c r="F6" s="8">
        <v>6</v>
      </c>
      <c r="G6" s="8">
        <v>98</v>
      </c>
      <c r="H6" s="8" t="s">
        <v>273</v>
      </c>
      <c r="I6" s="8" t="s">
        <v>31</v>
      </c>
      <c r="J6" s="8" t="s">
        <v>276</v>
      </c>
    </row>
    <row r="7" spans="1:10" x14ac:dyDescent="0.2">
      <c r="A7" s="8" t="s">
        <v>277</v>
      </c>
      <c r="B7" s="8" t="s">
        <v>69</v>
      </c>
      <c r="C7" s="8" t="s">
        <v>272</v>
      </c>
      <c r="D7" s="8">
        <v>1</v>
      </c>
      <c r="E7" s="8">
        <v>2</v>
      </c>
      <c r="F7" s="8">
        <v>6</v>
      </c>
      <c r="G7" s="8">
        <v>98</v>
      </c>
      <c r="H7" s="8" t="s">
        <v>273</v>
      </c>
      <c r="I7" s="8" t="s">
        <v>31</v>
      </c>
      <c r="J7" s="8" t="s">
        <v>278</v>
      </c>
    </row>
    <row r="8" spans="1:10" x14ac:dyDescent="0.2">
      <c r="A8" s="8" t="s">
        <v>279</v>
      </c>
      <c r="B8" s="8" t="s">
        <v>69</v>
      </c>
      <c r="C8" s="8" t="s">
        <v>272</v>
      </c>
      <c r="D8" s="8">
        <v>1</v>
      </c>
      <c r="E8" s="8">
        <v>3</v>
      </c>
      <c r="F8" s="8">
        <v>12</v>
      </c>
      <c r="G8" s="8">
        <v>98</v>
      </c>
      <c r="H8" s="8" t="s">
        <v>273</v>
      </c>
      <c r="I8" s="8" t="s">
        <v>31</v>
      </c>
      <c r="J8" s="8" t="s">
        <v>280</v>
      </c>
    </row>
    <row r="9" spans="1:10" x14ac:dyDescent="0.2">
      <c r="A9" s="8" t="s">
        <v>281</v>
      </c>
      <c r="B9" s="8" t="s">
        <v>69</v>
      </c>
      <c r="C9" s="8" t="s">
        <v>272</v>
      </c>
      <c r="D9" s="8">
        <v>1</v>
      </c>
      <c r="E9" s="8">
        <v>3</v>
      </c>
      <c r="F9" s="8">
        <v>12</v>
      </c>
      <c r="G9" s="8">
        <v>98</v>
      </c>
      <c r="H9" s="8" t="s">
        <v>273</v>
      </c>
      <c r="I9" s="8" t="s">
        <v>31</v>
      </c>
      <c r="J9" s="8" t="s">
        <v>282</v>
      </c>
    </row>
    <row r="10" spans="1:10" x14ac:dyDescent="0.2">
      <c r="A10" s="8" t="s">
        <v>283</v>
      </c>
      <c r="B10" s="8" t="s">
        <v>69</v>
      </c>
      <c r="C10" s="8" t="s">
        <v>272</v>
      </c>
      <c r="D10" s="8">
        <v>1</v>
      </c>
      <c r="E10" s="8">
        <v>4</v>
      </c>
      <c r="F10" s="8">
        <v>18</v>
      </c>
      <c r="G10" s="8">
        <v>98</v>
      </c>
      <c r="H10" s="8" t="s">
        <v>273</v>
      </c>
      <c r="I10" s="8" t="s">
        <v>31</v>
      </c>
      <c r="J10" s="8" t="s">
        <v>284</v>
      </c>
    </row>
    <row r="11" spans="1:10" x14ac:dyDescent="0.2">
      <c r="A11" s="8" t="s">
        <v>285</v>
      </c>
      <c r="B11" s="8" t="s">
        <v>69</v>
      </c>
      <c r="C11" s="8" t="s">
        <v>272</v>
      </c>
      <c r="D11" s="8">
        <v>1</v>
      </c>
      <c r="E11" s="8">
        <v>4</v>
      </c>
      <c r="F11" s="8">
        <v>18</v>
      </c>
      <c r="G11" s="8">
        <v>98</v>
      </c>
      <c r="H11" s="8" t="s">
        <v>273</v>
      </c>
      <c r="I11" s="8" t="s">
        <v>31</v>
      </c>
      <c r="J11" s="8" t="s">
        <v>286</v>
      </c>
    </row>
    <row r="12" spans="1:10" x14ac:dyDescent="0.2">
      <c r="A12" s="8" t="s">
        <v>287</v>
      </c>
      <c r="B12" s="8" t="s">
        <v>69</v>
      </c>
      <c r="C12" s="8" t="s">
        <v>272</v>
      </c>
      <c r="D12" s="8">
        <v>1</v>
      </c>
      <c r="E12" s="8">
        <v>5</v>
      </c>
      <c r="F12" s="8">
        <v>24</v>
      </c>
      <c r="G12" s="8">
        <v>98</v>
      </c>
      <c r="H12" s="8" t="s">
        <v>273</v>
      </c>
      <c r="I12" s="8" t="s">
        <v>31</v>
      </c>
      <c r="J12" s="8" t="s">
        <v>288</v>
      </c>
    </row>
    <row r="13" spans="1:10" x14ac:dyDescent="0.2">
      <c r="A13" s="8" t="s">
        <v>289</v>
      </c>
      <c r="B13" s="8" t="s">
        <v>69</v>
      </c>
      <c r="C13" s="8" t="s">
        <v>272</v>
      </c>
      <c r="D13" s="8">
        <v>1</v>
      </c>
      <c r="E13" s="8">
        <v>6</v>
      </c>
      <c r="F13" s="8">
        <v>30</v>
      </c>
      <c r="G13" s="8">
        <v>98</v>
      </c>
      <c r="H13" s="8" t="s">
        <v>273</v>
      </c>
      <c r="I13" s="8" t="s">
        <v>31</v>
      </c>
      <c r="J13" s="8" t="s">
        <v>290</v>
      </c>
    </row>
    <row r="14" spans="1:10" x14ac:dyDescent="0.2">
      <c r="A14" s="8" t="s">
        <v>133</v>
      </c>
      <c r="B14" s="8" t="s">
        <v>69</v>
      </c>
      <c r="C14" s="8" t="s">
        <v>272</v>
      </c>
      <c r="D14" s="8">
        <v>1</v>
      </c>
      <c r="E14" s="8">
        <v>6</v>
      </c>
      <c r="F14" s="8">
        <v>30</v>
      </c>
      <c r="G14" s="8">
        <v>98</v>
      </c>
      <c r="H14" s="8" t="s">
        <v>273</v>
      </c>
      <c r="I14" s="8" t="s">
        <v>31</v>
      </c>
      <c r="J14" s="8" t="s">
        <v>291</v>
      </c>
    </row>
    <row r="15" spans="1:10" x14ac:dyDescent="0.2">
      <c r="A15" s="8" t="s">
        <v>68</v>
      </c>
      <c r="B15" s="8" t="s">
        <v>69</v>
      </c>
      <c r="C15" s="8" t="s">
        <v>70</v>
      </c>
      <c r="D15" s="8">
        <v>2</v>
      </c>
      <c r="E15" s="8">
        <v>1</v>
      </c>
      <c r="F15" s="8">
        <v>1</v>
      </c>
      <c r="G15" s="8">
        <v>98</v>
      </c>
      <c r="H15" s="8" t="s">
        <v>292</v>
      </c>
      <c r="I15" s="8" t="s">
        <v>31</v>
      </c>
      <c r="J15" s="8" t="s">
        <v>293</v>
      </c>
    </row>
    <row r="16" spans="1:10" x14ac:dyDescent="0.2">
      <c r="A16" s="8" t="s">
        <v>72</v>
      </c>
      <c r="B16" s="8" t="s">
        <v>69</v>
      </c>
      <c r="C16" s="8" t="s">
        <v>70</v>
      </c>
      <c r="D16" s="8">
        <v>2</v>
      </c>
      <c r="E16" s="8">
        <v>1</v>
      </c>
      <c r="F16" s="8">
        <v>1</v>
      </c>
      <c r="G16" s="8">
        <v>98</v>
      </c>
      <c r="H16" s="8" t="s">
        <v>292</v>
      </c>
      <c r="I16" s="8" t="s">
        <v>31</v>
      </c>
      <c r="J16" s="8" t="s">
        <v>294</v>
      </c>
    </row>
    <row r="17" spans="1:10" x14ac:dyDescent="0.2">
      <c r="A17" s="8" t="s">
        <v>74</v>
      </c>
      <c r="B17" s="8" t="s">
        <v>69</v>
      </c>
      <c r="C17" s="8" t="s">
        <v>70</v>
      </c>
      <c r="D17" s="8">
        <v>2</v>
      </c>
      <c r="E17" s="8">
        <v>1</v>
      </c>
      <c r="F17" s="8">
        <v>1</v>
      </c>
      <c r="G17" s="8">
        <v>98</v>
      </c>
      <c r="H17" s="8" t="s">
        <v>292</v>
      </c>
      <c r="I17" s="8" t="s">
        <v>31</v>
      </c>
      <c r="J17" s="8" t="s">
        <v>295</v>
      </c>
    </row>
    <row r="18" spans="1:10" x14ac:dyDescent="0.2">
      <c r="A18" s="8" t="s">
        <v>76</v>
      </c>
      <c r="B18" s="8" t="s">
        <v>69</v>
      </c>
      <c r="C18" s="8" t="s">
        <v>70</v>
      </c>
      <c r="D18" s="8">
        <v>2</v>
      </c>
      <c r="E18" s="8">
        <v>2</v>
      </c>
      <c r="F18" s="8">
        <v>6</v>
      </c>
      <c r="G18" s="8">
        <v>98</v>
      </c>
      <c r="H18" s="8" t="s">
        <v>292</v>
      </c>
      <c r="I18" s="8" t="s">
        <v>31</v>
      </c>
      <c r="J18" s="8" t="s">
        <v>296</v>
      </c>
    </row>
    <row r="19" spans="1:10" x14ac:dyDescent="0.2">
      <c r="A19" s="8" t="s">
        <v>297</v>
      </c>
      <c r="B19" s="8" t="s">
        <v>69</v>
      </c>
      <c r="C19" s="8" t="s">
        <v>70</v>
      </c>
      <c r="D19" s="8">
        <v>2</v>
      </c>
      <c r="E19" s="8">
        <v>2</v>
      </c>
      <c r="F19" s="8">
        <v>6</v>
      </c>
      <c r="G19" s="8">
        <v>98</v>
      </c>
      <c r="H19" s="8" t="s">
        <v>273</v>
      </c>
      <c r="I19" s="8" t="s">
        <v>31</v>
      </c>
      <c r="J19" s="8" t="s">
        <v>298</v>
      </c>
    </row>
    <row r="20" spans="1:10" x14ac:dyDescent="0.2">
      <c r="A20" s="8" t="s">
        <v>299</v>
      </c>
      <c r="B20" s="8" t="s">
        <v>69</v>
      </c>
      <c r="C20" s="8" t="s">
        <v>70</v>
      </c>
      <c r="D20" s="8">
        <v>2</v>
      </c>
      <c r="E20" s="8">
        <v>2</v>
      </c>
      <c r="F20" s="8">
        <v>6</v>
      </c>
      <c r="G20" s="8">
        <v>98</v>
      </c>
      <c r="H20" s="8" t="s">
        <v>273</v>
      </c>
      <c r="I20" s="8" t="s">
        <v>31</v>
      </c>
      <c r="J20" s="8" t="s">
        <v>300</v>
      </c>
    </row>
    <row r="21" spans="1:10" x14ac:dyDescent="0.2">
      <c r="A21" s="8" t="s">
        <v>301</v>
      </c>
      <c r="B21" s="8" t="s">
        <v>69</v>
      </c>
      <c r="C21" s="8" t="s">
        <v>70</v>
      </c>
      <c r="D21" s="8">
        <v>2</v>
      </c>
      <c r="E21" s="8">
        <v>3</v>
      </c>
      <c r="F21" s="8">
        <v>12</v>
      </c>
      <c r="G21" s="8">
        <v>98</v>
      </c>
      <c r="H21" s="8" t="s">
        <v>273</v>
      </c>
      <c r="I21" s="8" t="s">
        <v>31</v>
      </c>
      <c r="J21" s="8" t="s">
        <v>302</v>
      </c>
    </row>
    <row r="22" spans="1:10" x14ac:dyDescent="0.2">
      <c r="A22" s="8" t="s">
        <v>78</v>
      </c>
      <c r="B22" s="8" t="s">
        <v>69</v>
      </c>
      <c r="C22" s="8" t="s">
        <v>70</v>
      </c>
      <c r="D22" s="8">
        <v>2</v>
      </c>
      <c r="E22" s="8">
        <v>4</v>
      </c>
      <c r="F22" s="8">
        <v>18</v>
      </c>
      <c r="G22" s="8">
        <v>98</v>
      </c>
      <c r="H22" s="8" t="s">
        <v>292</v>
      </c>
      <c r="I22" s="8" t="s">
        <v>31</v>
      </c>
      <c r="J22" s="8" t="s">
        <v>303</v>
      </c>
    </row>
    <row r="23" spans="1:10" x14ac:dyDescent="0.2">
      <c r="A23" s="8" t="s">
        <v>79</v>
      </c>
      <c r="B23" s="8" t="s">
        <v>69</v>
      </c>
      <c r="C23" s="8" t="s">
        <v>70</v>
      </c>
      <c r="D23" s="8">
        <v>2</v>
      </c>
      <c r="E23" s="8">
        <v>5</v>
      </c>
      <c r="F23" s="8">
        <v>24</v>
      </c>
      <c r="G23" s="8">
        <v>98</v>
      </c>
      <c r="H23" s="8" t="s">
        <v>292</v>
      </c>
      <c r="I23" s="8" t="s">
        <v>31</v>
      </c>
      <c r="J23" s="8" t="s">
        <v>304</v>
      </c>
    </row>
    <row r="24" spans="1:10" x14ac:dyDescent="0.2">
      <c r="A24" s="8" t="s">
        <v>80</v>
      </c>
      <c r="B24" s="8" t="s">
        <v>69</v>
      </c>
      <c r="C24" s="8" t="s">
        <v>70</v>
      </c>
      <c r="D24" s="8">
        <v>2</v>
      </c>
      <c r="E24" s="8">
        <v>6</v>
      </c>
      <c r="F24" s="8">
        <v>30</v>
      </c>
      <c r="G24" s="8">
        <v>98</v>
      </c>
      <c r="H24" s="8" t="s">
        <v>292</v>
      </c>
      <c r="I24" s="8" t="s">
        <v>31</v>
      </c>
      <c r="J24" s="8" t="s">
        <v>305</v>
      </c>
    </row>
    <row r="25" spans="1:10" x14ac:dyDescent="0.2">
      <c r="A25" s="8" t="s">
        <v>306</v>
      </c>
      <c r="B25" s="8" t="s">
        <v>69</v>
      </c>
      <c r="C25" s="8" t="s">
        <v>272</v>
      </c>
      <c r="D25" s="8">
        <v>3</v>
      </c>
      <c r="E25" s="8">
        <v>1</v>
      </c>
      <c r="F25" s="8">
        <v>1</v>
      </c>
      <c r="G25" s="8">
        <v>98</v>
      </c>
      <c r="H25" s="8" t="s">
        <v>273</v>
      </c>
      <c r="I25" s="8" t="s">
        <v>31</v>
      </c>
      <c r="J25" s="8" t="s">
        <v>307</v>
      </c>
    </row>
    <row r="26" spans="1:10" x14ac:dyDescent="0.2">
      <c r="A26" s="8" t="s">
        <v>308</v>
      </c>
      <c r="B26" s="8" t="s">
        <v>69</v>
      </c>
      <c r="C26" s="8" t="s">
        <v>272</v>
      </c>
      <c r="D26" s="8">
        <v>3</v>
      </c>
      <c r="E26" s="8">
        <v>1</v>
      </c>
      <c r="F26" s="8">
        <v>1</v>
      </c>
      <c r="G26" s="8">
        <v>98</v>
      </c>
      <c r="H26" s="8" t="s">
        <v>273</v>
      </c>
      <c r="I26" s="8" t="s">
        <v>31</v>
      </c>
      <c r="J26" s="8" t="s">
        <v>309</v>
      </c>
    </row>
    <row r="27" spans="1:10" x14ac:dyDescent="0.2">
      <c r="A27" s="8" t="s">
        <v>310</v>
      </c>
      <c r="B27" s="8" t="s">
        <v>69</v>
      </c>
      <c r="C27" s="8" t="s">
        <v>272</v>
      </c>
      <c r="D27" s="8">
        <v>3</v>
      </c>
      <c r="E27" s="8">
        <v>2</v>
      </c>
      <c r="F27" s="8">
        <v>6</v>
      </c>
      <c r="G27" s="8">
        <v>98</v>
      </c>
      <c r="H27" s="8" t="s">
        <v>273</v>
      </c>
      <c r="I27" s="8" t="s">
        <v>31</v>
      </c>
      <c r="J27" s="8" t="s">
        <v>311</v>
      </c>
    </row>
    <row r="28" spans="1:10" x14ac:dyDescent="0.2">
      <c r="A28" s="8" t="s">
        <v>312</v>
      </c>
      <c r="B28" s="8" t="s">
        <v>69</v>
      </c>
      <c r="C28" s="8" t="s">
        <v>272</v>
      </c>
      <c r="D28" s="8">
        <v>3</v>
      </c>
      <c r="E28" s="8">
        <v>2</v>
      </c>
      <c r="F28" s="8">
        <v>6</v>
      </c>
      <c r="G28" s="8">
        <v>98</v>
      </c>
      <c r="H28" s="8" t="s">
        <v>273</v>
      </c>
      <c r="I28" s="8" t="s">
        <v>31</v>
      </c>
      <c r="J28" s="8" t="s">
        <v>313</v>
      </c>
    </row>
    <row r="29" spans="1:10" x14ac:dyDescent="0.2">
      <c r="A29" s="8" t="s">
        <v>314</v>
      </c>
      <c r="B29" s="8" t="s">
        <v>69</v>
      </c>
      <c r="C29" s="8" t="s">
        <v>272</v>
      </c>
      <c r="D29" s="8">
        <v>3</v>
      </c>
      <c r="E29" s="8">
        <v>3</v>
      </c>
      <c r="F29" s="8">
        <v>12</v>
      </c>
      <c r="G29" s="8">
        <v>98</v>
      </c>
      <c r="H29" s="8" t="s">
        <v>273</v>
      </c>
      <c r="I29" s="8" t="s">
        <v>31</v>
      </c>
      <c r="J29" s="8" t="s">
        <v>315</v>
      </c>
    </row>
    <row r="30" spans="1:10" x14ac:dyDescent="0.2">
      <c r="A30" s="8" t="s">
        <v>316</v>
      </c>
      <c r="B30" s="8" t="s">
        <v>69</v>
      </c>
      <c r="C30" s="8" t="s">
        <v>272</v>
      </c>
      <c r="D30" s="8">
        <v>3</v>
      </c>
      <c r="E30" s="8">
        <v>4</v>
      </c>
      <c r="F30" s="8">
        <v>18</v>
      </c>
      <c r="G30" s="8">
        <v>98</v>
      </c>
      <c r="H30" s="8" t="s">
        <v>273</v>
      </c>
      <c r="I30" s="8" t="s">
        <v>31</v>
      </c>
      <c r="J30" s="8" t="s">
        <v>317</v>
      </c>
    </row>
    <row r="31" spans="1:10" x14ac:dyDescent="0.2">
      <c r="A31" s="8" t="s">
        <v>318</v>
      </c>
      <c r="B31" s="8" t="s">
        <v>69</v>
      </c>
      <c r="C31" s="8" t="s">
        <v>272</v>
      </c>
      <c r="D31" s="8">
        <v>3</v>
      </c>
      <c r="E31" s="8">
        <v>5</v>
      </c>
      <c r="F31" s="8">
        <v>24</v>
      </c>
      <c r="G31" s="8">
        <v>98</v>
      </c>
      <c r="H31" s="8" t="s">
        <v>273</v>
      </c>
      <c r="I31" s="8" t="s">
        <v>31</v>
      </c>
      <c r="J31" s="8" t="s">
        <v>319</v>
      </c>
    </row>
    <row r="32" spans="1:10" x14ac:dyDescent="0.2">
      <c r="A32" s="8" t="s">
        <v>320</v>
      </c>
      <c r="B32" s="8" t="s">
        <v>69</v>
      </c>
      <c r="C32" s="8" t="s">
        <v>272</v>
      </c>
      <c r="D32" s="8">
        <v>3</v>
      </c>
      <c r="E32" s="8">
        <v>5</v>
      </c>
      <c r="F32" s="8">
        <v>24</v>
      </c>
      <c r="G32" s="8">
        <v>98</v>
      </c>
      <c r="H32" s="8" t="s">
        <v>273</v>
      </c>
      <c r="I32" s="8" t="s">
        <v>31</v>
      </c>
      <c r="J32" s="8" t="s">
        <v>321</v>
      </c>
    </row>
    <row r="33" spans="1:10" x14ac:dyDescent="0.2">
      <c r="A33" s="8" t="s">
        <v>322</v>
      </c>
      <c r="B33" s="8" t="s">
        <v>69</v>
      </c>
      <c r="C33" s="8" t="s">
        <v>272</v>
      </c>
      <c r="D33" s="8">
        <v>3</v>
      </c>
      <c r="E33" s="8">
        <v>6</v>
      </c>
      <c r="F33" s="8">
        <v>30</v>
      </c>
      <c r="G33" s="8">
        <v>98</v>
      </c>
      <c r="H33" s="8" t="s">
        <v>273</v>
      </c>
      <c r="I33" s="8" t="s">
        <v>31</v>
      </c>
      <c r="J33" s="8" t="s">
        <v>323</v>
      </c>
    </row>
    <row r="34" spans="1:10" x14ac:dyDescent="0.2">
      <c r="A34" s="8" t="s">
        <v>324</v>
      </c>
      <c r="B34" s="8" t="s">
        <v>69</v>
      </c>
      <c r="C34" s="8" t="s">
        <v>272</v>
      </c>
      <c r="D34" s="8">
        <v>3</v>
      </c>
      <c r="E34" s="8">
        <v>6</v>
      </c>
      <c r="F34" s="8">
        <v>30</v>
      </c>
      <c r="G34" s="8">
        <v>98</v>
      </c>
      <c r="H34" s="8" t="s">
        <v>273</v>
      </c>
      <c r="I34" s="8" t="s">
        <v>31</v>
      </c>
      <c r="J34" s="8" t="s">
        <v>325</v>
      </c>
    </row>
    <row r="35" spans="1:10" x14ac:dyDescent="0.2">
      <c r="A35" s="8" t="s">
        <v>326</v>
      </c>
      <c r="B35" s="8" t="s">
        <v>69</v>
      </c>
      <c r="C35" s="8" t="s">
        <v>70</v>
      </c>
      <c r="D35" s="8">
        <v>4</v>
      </c>
      <c r="E35" s="8">
        <v>1</v>
      </c>
      <c r="F35" s="8">
        <v>1</v>
      </c>
      <c r="G35" s="8">
        <v>1</v>
      </c>
      <c r="H35" s="8" t="s">
        <v>273</v>
      </c>
      <c r="I35" s="8" t="s">
        <v>31</v>
      </c>
      <c r="J35" s="8" t="s">
        <v>327</v>
      </c>
    </row>
    <row r="36" spans="1:10" x14ac:dyDescent="0.2">
      <c r="A36" s="8" t="s">
        <v>328</v>
      </c>
      <c r="B36" s="8" t="s">
        <v>69</v>
      </c>
      <c r="C36" s="8" t="s">
        <v>70</v>
      </c>
      <c r="D36" s="8">
        <v>4</v>
      </c>
      <c r="E36" s="8">
        <v>1</v>
      </c>
      <c r="F36" s="8">
        <v>1</v>
      </c>
      <c r="G36" s="8">
        <v>1</v>
      </c>
      <c r="H36" s="8" t="s">
        <v>273</v>
      </c>
      <c r="I36" s="8" t="s">
        <v>31</v>
      </c>
      <c r="J36" s="8" t="s">
        <v>329</v>
      </c>
    </row>
    <row r="37" spans="1:10" x14ac:dyDescent="0.2">
      <c r="A37" s="8" t="s">
        <v>330</v>
      </c>
      <c r="B37" s="8" t="s">
        <v>69</v>
      </c>
      <c r="C37" s="8" t="s">
        <v>70</v>
      </c>
      <c r="D37" s="8">
        <v>4</v>
      </c>
      <c r="E37" s="8">
        <v>1</v>
      </c>
      <c r="F37" s="8">
        <v>1</v>
      </c>
      <c r="G37" s="8">
        <v>1</v>
      </c>
      <c r="H37" s="8" t="s">
        <v>273</v>
      </c>
      <c r="I37" s="8" t="s">
        <v>31</v>
      </c>
      <c r="J37" s="8" t="s">
        <v>331</v>
      </c>
    </row>
    <row r="38" spans="1:10" x14ac:dyDescent="0.2">
      <c r="A38" s="8" t="s">
        <v>332</v>
      </c>
      <c r="B38" s="8" t="s">
        <v>69</v>
      </c>
      <c r="C38" s="8" t="s">
        <v>70</v>
      </c>
      <c r="D38" s="8">
        <v>4</v>
      </c>
      <c r="E38" s="8">
        <v>2</v>
      </c>
      <c r="F38" s="8">
        <v>6</v>
      </c>
      <c r="G38" s="8">
        <v>1</v>
      </c>
      <c r="H38" s="8" t="s">
        <v>273</v>
      </c>
      <c r="I38" s="8" t="s">
        <v>31</v>
      </c>
      <c r="J38" s="8" t="s">
        <v>333</v>
      </c>
    </row>
    <row r="39" spans="1:10" x14ac:dyDescent="0.2">
      <c r="A39" s="8" t="s">
        <v>334</v>
      </c>
      <c r="B39" s="8" t="s">
        <v>69</v>
      </c>
      <c r="C39" s="8" t="s">
        <v>70</v>
      </c>
      <c r="D39" s="8">
        <v>4</v>
      </c>
      <c r="E39" s="8">
        <v>2</v>
      </c>
      <c r="F39" s="8">
        <v>6</v>
      </c>
      <c r="G39" s="8">
        <v>1</v>
      </c>
      <c r="H39" s="8" t="s">
        <v>273</v>
      </c>
      <c r="I39" s="8" t="s">
        <v>31</v>
      </c>
      <c r="J39" s="8" t="s">
        <v>335</v>
      </c>
    </row>
    <row r="40" spans="1:10" x14ac:dyDescent="0.2">
      <c r="A40" s="8" t="s">
        <v>336</v>
      </c>
      <c r="B40" s="8" t="s">
        <v>69</v>
      </c>
      <c r="C40" s="8" t="s">
        <v>70</v>
      </c>
      <c r="D40" s="8">
        <v>4</v>
      </c>
      <c r="E40" s="8">
        <v>2</v>
      </c>
      <c r="F40" s="8">
        <v>6</v>
      </c>
      <c r="G40" s="8">
        <v>1</v>
      </c>
      <c r="H40" s="8" t="s">
        <v>273</v>
      </c>
      <c r="I40" s="8" t="s">
        <v>31</v>
      </c>
      <c r="J40" s="8" t="s">
        <v>337</v>
      </c>
    </row>
    <row r="41" spans="1:10" x14ac:dyDescent="0.2">
      <c r="A41" s="8" t="s">
        <v>338</v>
      </c>
      <c r="B41" s="8" t="s">
        <v>69</v>
      </c>
      <c r="C41" s="8" t="s">
        <v>70</v>
      </c>
      <c r="D41" s="8">
        <v>4</v>
      </c>
      <c r="E41" s="8">
        <v>3</v>
      </c>
      <c r="F41" s="8">
        <v>12</v>
      </c>
      <c r="G41" s="8">
        <v>1</v>
      </c>
      <c r="H41" s="8" t="s">
        <v>273</v>
      </c>
      <c r="I41" s="8" t="s">
        <v>31</v>
      </c>
      <c r="J41" s="8" t="s">
        <v>339</v>
      </c>
    </row>
    <row r="42" spans="1:10" x14ac:dyDescent="0.2">
      <c r="A42" s="8" t="s">
        <v>340</v>
      </c>
      <c r="B42" s="8" t="s">
        <v>69</v>
      </c>
      <c r="C42" s="8" t="s">
        <v>70</v>
      </c>
      <c r="D42" s="8">
        <v>4</v>
      </c>
      <c r="E42" s="8">
        <v>3</v>
      </c>
      <c r="F42" s="8">
        <v>12</v>
      </c>
      <c r="G42" s="8">
        <v>1</v>
      </c>
      <c r="H42" s="8" t="s">
        <v>273</v>
      </c>
      <c r="I42" s="8" t="s">
        <v>31</v>
      </c>
      <c r="J42" s="8" t="s">
        <v>341</v>
      </c>
    </row>
    <row r="43" spans="1:10" x14ac:dyDescent="0.2">
      <c r="A43" s="8" t="s">
        <v>342</v>
      </c>
      <c r="B43" s="8" t="s">
        <v>69</v>
      </c>
      <c r="C43" s="8" t="s">
        <v>70</v>
      </c>
      <c r="D43" s="8">
        <v>4</v>
      </c>
      <c r="E43" s="8">
        <v>3</v>
      </c>
      <c r="F43" s="8">
        <v>12</v>
      </c>
      <c r="G43" s="8">
        <v>1</v>
      </c>
      <c r="H43" s="8" t="s">
        <v>273</v>
      </c>
      <c r="I43" s="8" t="s">
        <v>31</v>
      </c>
      <c r="J43" s="8" t="s">
        <v>343</v>
      </c>
    </row>
    <row r="44" spans="1:10" x14ac:dyDescent="0.2">
      <c r="A44" s="8" t="s">
        <v>344</v>
      </c>
      <c r="B44" s="8" t="s">
        <v>69</v>
      </c>
      <c r="C44" s="8" t="s">
        <v>70</v>
      </c>
      <c r="D44" s="8">
        <v>4</v>
      </c>
      <c r="E44" s="8">
        <v>4</v>
      </c>
      <c r="F44" s="8">
        <v>18</v>
      </c>
      <c r="G44" s="8">
        <v>1</v>
      </c>
      <c r="H44" s="8" t="s">
        <v>273</v>
      </c>
      <c r="I44" s="8" t="s">
        <v>31</v>
      </c>
      <c r="J44" s="8" t="s">
        <v>345</v>
      </c>
    </row>
    <row r="45" spans="1:10" x14ac:dyDescent="0.2">
      <c r="A45" s="8" t="s">
        <v>346</v>
      </c>
      <c r="B45" s="8" t="s">
        <v>69</v>
      </c>
      <c r="C45" s="8" t="s">
        <v>70</v>
      </c>
      <c r="D45" s="8">
        <v>4</v>
      </c>
      <c r="E45" s="8">
        <v>4</v>
      </c>
      <c r="F45" s="8">
        <v>18</v>
      </c>
      <c r="G45" s="8">
        <v>1</v>
      </c>
      <c r="H45" s="8" t="s">
        <v>273</v>
      </c>
      <c r="I45" s="8" t="s">
        <v>31</v>
      </c>
      <c r="J45" s="8" t="s">
        <v>347</v>
      </c>
    </row>
    <row r="46" spans="1:10" x14ac:dyDescent="0.2">
      <c r="A46" s="8" t="s">
        <v>348</v>
      </c>
      <c r="B46" s="8" t="s">
        <v>69</v>
      </c>
      <c r="C46" s="8" t="s">
        <v>70</v>
      </c>
      <c r="D46" s="8">
        <v>4</v>
      </c>
      <c r="E46" s="8">
        <v>4</v>
      </c>
      <c r="F46" s="8">
        <v>18</v>
      </c>
      <c r="G46" s="8">
        <v>1</v>
      </c>
      <c r="H46" s="8" t="s">
        <v>273</v>
      </c>
      <c r="I46" s="8" t="s">
        <v>31</v>
      </c>
      <c r="J46" s="8" t="s">
        <v>349</v>
      </c>
    </row>
    <row r="47" spans="1:10" x14ac:dyDescent="0.2">
      <c r="A47" s="8" t="s">
        <v>350</v>
      </c>
      <c r="B47" s="8" t="s">
        <v>69</v>
      </c>
      <c r="C47" s="8" t="s">
        <v>70</v>
      </c>
      <c r="D47" s="8">
        <v>4</v>
      </c>
      <c r="E47" s="8">
        <v>5</v>
      </c>
      <c r="F47" s="8">
        <v>24</v>
      </c>
      <c r="G47" s="8">
        <v>1</v>
      </c>
      <c r="H47" s="8" t="s">
        <v>273</v>
      </c>
      <c r="I47" s="8" t="s">
        <v>31</v>
      </c>
      <c r="J47" s="8" t="s">
        <v>351</v>
      </c>
    </row>
    <row r="48" spans="1:10" x14ac:dyDescent="0.2">
      <c r="A48" s="8" t="s">
        <v>352</v>
      </c>
      <c r="B48" s="8" t="s">
        <v>69</v>
      </c>
      <c r="C48" s="8" t="s">
        <v>70</v>
      </c>
      <c r="D48" s="8">
        <v>4</v>
      </c>
      <c r="E48" s="8">
        <v>5</v>
      </c>
      <c r="F48" s="8">
        <v>24</v>
      </c>
      <c r="G48" s="8">
        <v>1</v>
      </c>
      <c r="H48" s="8" t="s">
        <v>273</v>
      </c>
      <c r="I48" s="8" t="s">
        <v>31</v>
      </c>
      <c r="J48" s="8" t="s">
        <v>353</v>
      </c>
    </row>
    <row r="49" spans="1:10" x14ac:dyDescent="0.2">
      <c r="A49" s="8" t="s">
        <v>354</v>
      </c>
      <c r="B49" s="8" t="s">
        <v>69</v>
      </c>
      <c r="C49" s="8" t="s">
        <v>70</v>
      </c>
      <c r="D49" s="8">
        <v>4</v>
      </c>
      <c r="E49" s="8">
        <v>5</v>
      </c>
      <c r="F49" s="8">
        <v>24</v>
      </c>
      <c r="G49" s="8">
        <v>1</v>
      </c>
      <c r="H49" s="8" t="s">
        <v>273</v>
      </c>
      <c r="I49" s="8" t="s">
        <v>31</v>
      </c>
      <c r="J49" s="8" t="s">
        <v>355</v>
      </c>
    </row>
    <row r="50" spans="1:10" x14ac:dyDescent="0.2">
      <c r="A50" s="8" t="s">
        <v>356</v>
      </c>
      <c r="B50" s="8" t="s">
        <v>69</v>
      </c>
      <c r="C50" s="8" t="s">
        <v>70</v>
      </c>
      <c r="D50" s="8">
        <v>4</v>
      </c>
      <c r="E50" s="8">
        <v>6</v>
      </c>
      <c r="F50" s="8">
        <v>30</v>
      </c>
      <c r="G50" s="8">
        <v>1</v>
      </c>
      <c r="H50" s="8" t="s">
        <v>273</v>
      </c>
      <c r="I50" s="8" t="s">
        <v>31</v>
      </c>
      <c r="J50" s="8" t="s">
        <v>357</v>
      </c>
    </row>
    <row r="51" spans="1:10" x14ac:dyDescent="0.2">
      <c r="A51" s="8" t="s">
        <v>358</v>
      </c>
      <c r="B51" s="8" t="s">
        <v>69</v>
      </c>
      <c r="C51" s="8" t="s">
        <v>70</v>
      </c>
      <c r="D51" s="8">
        <v>4</v>
      </c>
      <c r="E51" s="8">
        <v>6</v>
      </c>
      <c r="F51" s="8">
        <v>30</v>
      </c>
      <c r="G51" s="8">
        <v>1</v>
      </c>
      <c r="H51" s="8" t="s">
        <v>273</v>
      </c>
      <c r="I51" s="8" t="s">
        <v>31</v>
      </c>
      <c r="J51" s="8" t="s">
        <v>359</v>
      </c>
    </row>
    <row r="52" spans="1:10" x14ac:dyDescent="0.2">
      <c r="A52" s="8" t="s">
        <v>360</v>
      </c>
      <c r="B52" s="8" t="s">
        <v>69</v>
      </c>
      <c r="C52" s="8" t="s">
        <v>70</v>
      </c>
      <c r="D52" s="8">
        <v>4</v>
      </c>
      <c r="E52" s="8">
        <v>6</v>
      </c>
      <c r="F52" s="8">
        <v>30</v>
      </c>
      <c r="G52" s="8">
        <v>1</v>
      </c>
      <c r="H52" s="8" t="s">
        <v>273</v>
      </c>
      <c r="I52" s="8" t="s">
        <v>31</v>
      </c>
      <c r="J52" s="8" t="s">
        <v>361</v>
      </c>
    </row>
    <row r="53" spans="1:10" x14ac:dyDescent="0.2">
      <c r="A53" s="8" t="s">
        <v>362</v>
      </c>
      <c r="B53" s="8" t="s">
        <v>69</v>
      </c>
      <c r="C53" s="8" t="s">
        <v>70</v>
      </c>
      <c r="D53" s="8">
        <v>4</v>
      </c>
      <c r="E53" s="8">
        <v>7</v>
      </c>
      <c r="F53" s="8">
        <v>36</v>
      </c>
      <c r="G53" s="8">
        <v>1</v>
      </c>
      <c r="H53" s="8" t="s">
        <v>273</v>
      </c>
      <c r="I53" s="8" t="s">
        <v>31</v>
      </c>
      <c r="J53" s="8" t="s">
        <v>363</v>
      </c>
    </row>
    <row r="54" spans="1:10" x14ac:dyDescent="0.2">
      <c r="A54" s="8" t="s">
        <v>90</v>
      </c>
      <c r="B54" s="8" t="s">
        <v>91</v>
      </c>
      <c r="C54" s="8" t="s">
        <v>23</v>
      </c>
      <c r="D54" s="8">
        <v>1</v>
      </c>
      <c r="E54" s="8">
        <v>1</v>
      </c>
      <c r="F54" s="8">
        <v>1</v>
      </c>
      <c r="G54" s="8">
        <v>98</v>
      </c>
      <c r="H54" s="8" t="s">
        <v>292</v>
      </c>
      <c r="I54" s="8" t="s">
        <v>31</v>
      </c>
      <c r="J54" s="8" t="s">
        <v>364</v>
      </c>
    </row>
    <row r="55" spans="1:10" x14ac:dyDescent="0.2">
      <c r="A55" s="8" t="s">
        <v>92</v>
      </c>
      <c r="B55" s="8" t="s">
        <v>91</v>
      </c>
      <c r="C55" s="8" t="s">
        <v>23</v>
      </c>
      <c r="D55" s="8">
        <v>1</v>
      </c>
      <c r="E55" s="8">
        <v>1</v>
      </c>
      <c r="F55" s="8">
        <v>1</v>
      </c>
      <c r="G55" s="8">
        <v>98</v>
      </c>
      <c r="H55" s="8" t="s">
        <v>292</v>
      </c>
      <c r="I55" s="8" t="s">
        <v>31</v>
      </c>
      <c r="J55" s="8" t="s">
        <v>365</v>
      </c>
    </row>
    <row r="56" spans="1:10" x14ac:dyDescent="0.2">
      <c r="A56" s="8" t="s">
        <v>93</v>
      </c>
      <c r="B56" s="8" t="s">
        <v>91</v>
      </c>
      <c r="C56" s="8" t="s">
        <v>23</v>
      </c>
      <c r="D56" s="8">
        <v>1</v>
      </c>
      <c r="E56" s="8">
        <v>2</v>
      </c>
      <c r="F56" s="8">
        <v>6</v>
      </c>
      <c r="G56" s="8">
        <v>98</v>
      </c>
      <c r="H56" s="8" t="s">
        <v>292</v>
      </c>
      <c r="I56" s="8" t="s">
        <v>31</v>
      </c>
      <c r="J56" s="8" t="s">
        <v>366</v>
      </c>
    </row>
    <row r="57" spans="1:10" x14ac:dyDescent="0.2">
      <c r="A57" s="8" t="s">
        <v>95</v>
      </c>
      <c r="B57" s="8" t="s">
        <v>91</v>
      </c>
      <c r="C57" s="8" t="s">
        <v>23</v>
      </c>
      <c r="D57" s="8">
        <v>1</v>
      </c>
      <c r="E57" s="8">
        <v>2</v>
      </c>
      <c r="F57" s="8">
        <v>6</v>
      </c>
      <c r="G57" s="8">
        <v>98</v>
      </c>
      <c r="H57" s="8" t="s">
        <v>292</v>
      </c>
      <c r="I57" s="8" t="s">
        <v>31</v>
      </c>
      <c r="J57" s="8" t="s">
        <v>367</v>
      </c>
    </row>
    <row r="58" spans="1:10" x14ac:dyDescent="0.2">
      <c r="A58" s="8" t="s">
        <v>368</v>
      </c>
      <c r="B58" s="8" t="s">
        <v>91</v>
      </c>
      <c r="C58" s="8" t="s">
        <v>23</v>
      </c>
      <c r="D58" s="8">
        <v>1</v>
      </c>
      <c r="E58" s="8">
        <v>3</v>
      </c>
      <c r="F58" s="8">
        <v>12</v>
      </c>
      <c r="G58" s="8">
        <v>98</v>
      </c>
      <c r="H58" s="8" t="s">
        <v>273</v>
      </c>
      <c r="I58" s="8" t="s">
        <v>31</v>
      </c>
      <c r="J58" s="8" t="s">
        <v>369</v>
      </c>
    </row>
    <row r="59" spans="1:10" x14ac:dyDescent="0.2">
      <c r="A59" s="8" t="s">
        <v>370</v>
      </c>
      <c r="B59" s="8" t="s">
        <v>91</v>
      </c>
      <c r="C59" s="8" t="s">
        <v>272</v>
      </c>
      <c r="D59" s="8">
        <v>1</v>
      </c>
      <c r="E59" s="8">
        <v>3</v>
      </c>
      <c r="F59" s="8">
        <v>12</v>
      </c>
      <c r="G59" s="8">
        <v>98</v>
      </c>
      <c r="H59" s="8" t="s">
        <v>273</v>
      </c>
      <c r="I59" s="8" t="s">
        <v>31</v>
      </c>
      <c r="J59" s="8" t="s">
        <v>371</v>
      </c>
    </row>
    <row r="60" spans="1:10" x14ac:dyDescent="0.2">
      <c r="A60" s="8" t="s">
        <v>372</v>
      </c>
      <c r="B60" s="8" t="s">
        <v>91</v>
      </c>
      <c r="C60" s="8" t="s">
        <v>70</v>
      </c>
      <c r="D60" s="8">
        <v>1</v>
      </c>
      <c r="E60" s="8">
        <v>6</v>
      </c>
      <c r="F60" s="8">
        <v>30</v>
      </c>
      <c r="G60" s="8">
        <v>98</v>
      </c>
      <c r="H60" s="8" t="s">
        <v>273</v>
      </c>
      <c r="I60" s="8" t="s">
        <v>31</v>
      </c>
      <c r="J60" s="8" t="s">
        <v>373</v>
      </c>
    </row>
    <row r="61" spans="1:10" x14ac:dyDescent="0.2">
      <c r="A61" s="8" t="s">
        <v>374</v>
      </c>
      <c r="B61" s="8" t="s">
        <v>91</v>
      </c>
      <c r="C61" s="8" t="s">
        <v>272</v>
      </c>
      <c r="D61" s="8">
        <v>2</v>
      </c>
      <c r="E61" s="8">
        <v>1</v>
      </c>
      <c r="F61" s="8">
        <v>1</v>
      </c>
      <c r="G61" s="8">
        <v>98</v>
      </c>
      <c r="H61" s="8" t="s">
        <v>273</v>
      </c>
      <c r="I61" s="8" t="s">
        <v>31</v>
      </c>
      <c r="J61" s="8" t="s">
        <v>375</v>
      </c>
    </row>
    <row r="62" spans="1:10" x14ac:dyDescent="0.2">
      <c r="A62" s="8" t="s">
        <v>312</v>
      </c>
      <c r="B62" s="8" t="s">
        <v>91</v>
      </c>
      <c r="C62" s="8" t="s">
        <v>272</v>
      </c>
      <c r="D62" s="8">
        <v>2</v>
      </c>
      <c r="E62" s="8">
        <v>1</v>
      </c>
      <c r="F62" s="8">
        <v>1</v>
      </c>
      <c r="G62" s="8">
        <v>98</v>
      </c>
      <c r="H62" s="8" t="s">
        <v>273</v>
      </c>
      <c r="I62" s="8" t="s">
        <v>31</v>
      </c>
      <c r="J62" s="8" t="s">
        <v>376</v>
      </c>
    </row>
    <row r="63" spans="1:10" x14ac:dyDescent="0.2">
      <c r="A63" s="8" t="s">
        <v>377</v>
      </c>
      <c r="B63" s="8" t="s">
        <v>91</v>
      </c>
      <c r="C63" s="8" t="s">
        <v>272</v>
      </c>
      <c r="D63" s="8">
        <v>2</v>
      </c>
      <c r="E63" s="8">
        <v>2</v>
      </c>
      <c r="F63" s="8">
        <v>6</v>
      </c>
      <c r="G63" s="8">
        <v>98</v>
      </c>
      <c r="H63" s="8" t="s">
        <v>292</v>
      </c>
      <c r="I63" s="8" t="s">
        <v>378</v>
      </c>
      <c r="J63" s="8" t="s">
        <v>379</v>
      </c>
    </row>
    <row r="64" spans="1:10" x14ac:dyDescent="0.2">
      <c r="A64" s="8" t="s">
        <v>380</v>
      </c>
      <c r="B64" s="8" t="s">
        <v>91</v>
      </c>
      <c r="C64" s="8" t="s">
        <v>23</v>
      </c>
      <c r="D64" s="8">
        <v>2</v>
      </c>
      <c r="E64" s="8">
        <v>2</v>
      </c>
      <c r="F64" s="8">
        <v>6</v>
      </c>
      <c r="G64" s="8">
        <v>98</v>
      </c>
      <c r="H64" s="8" t="s">
        <v>273</v>
      </c>
      <c r="I64" s="8" t="s">
        <v>31</v>
      </c>
      <c r="J64" s="8" t="s">
        <v>381</v>
      </c>
    </row>
    <row r="65" spans="1:10" x14ac:dyDescent="0.2">
      <c r="A65" s="8" t="s">
        <v>382</v>
      </c>
      <c r="B65" s="8" t="s">
        <v>91</v>
      </c>
      <c r="C65" s="8" t="s">
        <v>70</v>
      </c>
      <c r="D65" s="8">
        <v>2</v>
      </c>
      <c r="E65" s="8">
        <v>3</v>
      </c>
      <c r="F65" s="8">
        <v>12</v>
      </c>
      <c r="G65" s="8">
        <v>98</v>
      </c>
      <c r="H65" s="8" t="s">
        <v>273</v>
      </c>
      <c r="I65" s="8" t="s">
        <v>31</v>
      </c>
      <c r="J65" s="8" t="s">
        <v>383</v>
      </c>
    </row>
    <row r="66" spans="1:10" x14ac:dyDescent="0.2">
      <c r="A66" s="8" t="s">
        <v>384</v>
      </c>
      <c r="B66" s="8" t="s">
        <v>91</v>
      </c>
      <c r="C66" s="8" t="s">
        <v>70</v>
      </c>
      <c r="D66" s="8">
        <v>2</v>
      </c>
      <c r="E66" s="8">
        <v>3</v>
      </c>
      <c r="F66" s="8">
        <v>12</v>
      </c>
      <c r="G66" s="8">
        <v>98</v>
      </c>
      <c r="H66" s="8" t="s">
        <v>273</v>
      </c>
      <c r="I66" s="8" t="s">
        <v>31</v>
      </c>
      <c r="J66" s="8" t="s">
        <v>385</v>
      </c>
    </row>
    <row r="67" spans="1:10" x14ac:dyDescent="0.2">
      <c r="A67" s="8" t="s">
        <v>386</v>
      </c>
      <c r="B67" s="8" t="s">
        <v>91</v>
      </c>
      <c r="C67" s="8" t="s">
        <v>70</v>
      </c>
      <c r="D67" s="8">
        <v>2</v>
      </c>
      <c r="E67" s="8">
        <v>6</v>
      </c>
      <c r="F67" s="8">
        <v>30</v>
      </c>
      <c r="G67" s="8">
        <v>98</v>
      </c>
      <c r="H67" s="8" t="s">
        <v>273</v>
      </c>
      <c r="I67" s="8" t="s">
        <v>31</v>
      </c>
      <c r="J67" s="8" t="s">
        <v>387</v>
      </c>
    </row>
    <row r="68" spans="1:10" x14ac:dyDescent="0.2">
      <c r="A68" s="8" t="s">
        <v>388</v>
      </c>
      <c r="B68" s="8" t="s">
        <v>91</v>
      </c>
      <c r="C68" s="8" t="s">
        <v>272</v>
      </c>
      <c r="D68" s="8">
        <v>3</v>
      </c>
      <c r="E68" s="8">
        <v>1</v>
      </c>
      <c r="F68" s="8">
        <v>1</v>
      </c>
      <c r="G68" s="8">
        <v>98</v>
      </c>
      <c r="H68" s="8" t="s">
        <v>273</v>
      </c>
      <c r="I68" s="8" t="s">
        <v>31</v>
      </c>
      <c r="J68" s="8" t="s">
        <v>389</v>
      </c>
    </row>
    <row r="69" spans="1:10" x14ac:dyDescent="0.2">
      <c r="A69" s="8" t="s">
        <v>390</v>
      </c>
      <c r="B69" s="8" t="s">
        <v>91</v>
      </c>
      <c r="C69" s="8" t="s">
        <v>272</v>
      </c>
      <c r="D69" s="8">
        <v>3</v>
      </c>
      <c r="E69" s="8">
        <v>1</v>
      </c>
      <c r="F69" s="8">
        <v>1</v>
      </c>
      <c r="G69" s="8">
        <v>98</v>
      </c>
      <c r="H69" s="8" t="s">
        <v>292</v>
      </c>
      <c r="I69" s="8" t="s">
        <v>133</v>
      </c>
      <c r="J69" s="8" t="s">
        <v>391</v>
      </c>
    </row>
    <row r="70" spans="1:10" x14ac:dyDescent="0.2">
      <c r="A70" s="8" t="s">
        <v>96</v>
      </c>
      <c r="B70" s="8" t="s">
        <v>91</v>
      </c>
      <c r="C70" s="8" t="s">
        <v>23</v>
      </c>
      <c r="D70" s="8">
        <v>3</v>
      </c>
      <c r="E70" s="8">
        <v>2</v>
      </c>
      <c r="F70" s="8">
        <v>6</v>
      </c>
      <c r="G70" s="8">
        <v>98</v>
      </c>
      <c r="H70" s="8" t="s">
        <v>292</v>
      </c>
      <c r="I70" s="8" t="s">
        <v>31</v>
      </c>
      <c r="J70" s="8" t="s">
        <v>392</v>
      </c>
    </row>
    <row r="71" spans="1:10" x14ac:dyDescent="0.2">
      <c r="A71" s="8" t="s">
        <v>97</v>
      </c>
      <c r="B71" s="8" t="s">
        <v>91</v>
      </c>
      <c r="C71" s="8" t="s">
        <v>23</v>
      </c>
      <c r="D71" s="8">
        <v>3</v>
      </c>
      <c r="E71" s="8">
        <v>2</v>
      </c>
      <c r="F71" s="8">
        <v>6</v>
      </c>
      <c r="G71" s="8">
        <v>98</v>
      </c>
      <c r="H71" s="8" t="s">
        <v>292</v>
      </c>
      <c r="I71" s="8" t="s">
        <v>31</v>
      </c>
      <c r="J71" s="8" t="s">
        <v>393</v>
      </c>
    </row>
    <row r="72" spans="1:10" x14ac:dyDescent="0.2">
      <c r="A72" s="8" t="s">
        <v>394</v>
      </c>
      <c r="B72" s="8" t="s">
        <v>91</v>
      </c>
      <c r="C72" s="8" t="s">
        <v>23</v>
      </c>
      <c r="D72" s="8">
        <v>3</v>
      </c>
      <c r="E72" s="8">
        <v>3</v>
      </c>
      <c r="F72" s="8">
        <v>12</v>
      </c>
      <c r="G72" s="8">
        <v>98</v>
      </c>
      <c r="H72" s="8" t="s">
        <v>273</v>
      </c>
      <c r="I72" s="8" t="s">
        <v>31</v>
      </c>
      <c r="J72" s="8" t="s">
        <v>395</v>
      </c>
    </row>
    <row r="73" spans="1:10" x14ac:dyDescent="0.2">
      <c r="A73" s="8" t="s">
        <v>396</v>
      </c>
      <c r="B73" s="8" t="s">
        <v>91</v>
      </c>
      <c r="C73" s="8" t="s">
        <v>272</v>
      </c>
      <c r="D73" s="8">
        <v>3</v>
      </c>
      <c r="E73" s="8">
        <v>3</v>
      </c>
      <c r="F73" s="8">
        <v>12</v>
      </c>
      <c r="G73" s="8">
        <v>98</v>
      </c>
      <c r="H73" s="8" t="s">
        <v>273</v>
      </c>
      <c r="I73" s="8" t="s">
        <v>31</v>
      </c>
      <c r="J73" s="8" t="s">
        <v>397</v>
      </c>
    </row>
    <row r="74" spans="1:10" x14ac:dyDescent="0.2">
      <c r="A74" s="8" t="s">
        <v>398</v>
      </c>
      <c r="B74" s="8" t="s">
        <v>91</v>
      </c>
      <c r="C74" s="8" t="s">
        <v>70</v>
      </c>
      <c r="D74" s="8">
        <v>3</v>
      </c>
      <c r="E74" s="8">
        <v>6</v>
      </c>
      <c r="F74" s="8">
        <v>30</v>
      </c>
      <c r="G74" s="8">
        <v>98</v>
      </c>
      <c r="H74" s="8" t="s">
        <v>273</v>
      </c>
      <c r="I74" s="8" t="s">
        <v>31</v>
      </c>
      <c r="J74" s="8" t="s">
        <v>399</v>
      </c>
    </row>
    <row r="75" spans="1:10" x14ac:dyDescent="0.2">
      <c r="A75" s="8" t="s">
        <v>400</v>
      </c>
      <c r="B75" s="8" t="s">
        <v>91</v>
      </c>
      <c r="C75" s="8" t="s">
        <v>70</v>
      </c>
      <c r="D75" s="8">
        <v>4</v>
      </c>
      <c r="E75" s="8">
        <v>1</v>
      </c>
      <c r="F75" s="8">
        <v>1</v>
      </c>
      <c r="G75" s="8">
        <v>1</v>
      </c>
      <c r="H75" s="8" t="s">
        <v>273</v>
      </c>
      <c r="I75" s="8" t="s">
        <v>31</v>
      </c>
      <c r="J75" s="8" t="s">
        <v>401</v>
      </c>
    </row>
    <row r="76" spans="1:10" x14ac:dyDescent="0.2">
      <c r="A76" s="8" t="s">
        <v>402</v>
      </c>
      <c r="B76" s="8" t="s">
        <v>91</v>
      </c>
      <c r="C76" s="8" t="s">
        <v>70</v>
      </c>
      <c r="D76" s="8">
        <v>4</v>
      </c>
      <c r="E76" s="8">
        <v>1</v>
      </c>
      <c r="F76" s="8">
        <v>1</v>
      </c>
      <c r="G76" s="8">
        <v>1</v>
      </c>
      <c r="H76" s="8" t="s">
        <v>273</v>
      </c>
      <c r="I76" s="8" t="s">
        <v>31</v>
      </c>
      <c r="J76" s="8" t="s">
        <v>403</v>
      </c>
    </row>
    <row r="77" spans="1:10" x14ac:dyDescent="0.2">
      <c r="A77" s="8" t="s">
        <v>404</v>
      </c>
      <c r="B77" s="8" t="s">
        <v>91</v>
      </c>
      <c r="C77" s="8" t="s">
        <v>70</v>
      </c>
      <c r="D77" s="8">
        <v>4</v>
      </c>
      <c r="E77" s="8">
        <v>1</v>
      </c>
      <c r="F77" s="8">
        <v>1</v>
      </c>
      <c r="G77" s="8">
        <v>1</v>
      </c>
      <c r="H77" s="8" t="s">
        <v>273</v>
      </c>
      <c r="I77" s="8" t="s">
        <v>31</v>
      </c>
      <c r="J77" s="8" t="s">
        <v>405</v>
      </c>
    </row>
    <row r="78" spans="1:10" x14ac:dyDescent="0.2">
      <c r="A78" s="8" t="s">
        <v>406</v>
      </c>
      <c r="B78" s="8" t="s">
        <v>91</v>
      </c>
      <c r="C78" s="8" t="s">
        <v>70</v>
      </c>
      <c r="D78" s="8">
        <v>4</v>
      </c>
      <c r="E78" s="8">
        <v>2</v>
      </c>
      <c r="F78" s="8">
        <v>6</v>
      </c>
      <c r="G78" s="8">
        <v>1</v>
      </c>
      <c r="H78" s="8" t="s">
        <v>273</v>
      </c>
      <c r="I78" s="8" t="s">
        <v>31</v>
      </c>
      <c r="J78" s="8" t="s">
        <v>407</v>
      </c>
    </row>
    <row r="79" spans="1:10" x14ac:dyDescent="0.2">
      <c r="A79" s="8" t="s">
        <v>408</v>
      </c>
      <c r="B79" s="8" t="s">
        <v>91</v>
      </c>
      <c r="C79" s="8" t="s">
        <v>70</v>
      </c>
      <c r="D79" s="8">
        <v>4</v>
      </c>
      <c r="E79" s="8">
        <v>2</v>
      </c>
      <c r="F79" s="8">
        <v>6</v>
      </c>
      <c r="G79" s="8">
        <v>1</v>
      </c>
      <c r="H79" s="8" t="s">
        <v>273</v>
      </c>
      <c r="I79" s="8" t="s">
        <v>31</v>
      </c>
      <c r="J79" s="8" t="s">
        <v>409</v>
      </c>
    </row>
    <row r="80" spans="1:10" x14ac:dyDescent="0.2">
      <c r="A80" s="8" t="s">
        <v>410</v>
      </c>
      <c r="B80" s="8" t="s">
        <v>91</v>
      </c>
      <c r="C80" s="8" t="s">
        <v>70</v>
      </c>
      <c r="D80" s="8">
        <v>4</v>
      </c>
      <c r="E80" s="8">
        <v>2</v>
      </c>
      <c r="F80" s="8">
        <v>6</v>
      </c>
      <c r="G80" s="8">
        <v>1</v>
      </c>
      <c r="H80" s="8" t="s">
        <v>273</v>
      </c>
      <c r="I80" s="8" t="s">
        <v>31</v>
      </c>
      <c r="J80" s="8" t="s">
        <v>411</v>
      </c>
    </row>
    <row r="81" spans="1:10" x14ac:dyDescent="0.2">
      <c r="A81" s="8" t="s">
        <v>412</v>
      </c>
      <c r="B81" s="8" t="s">
        <v>91</v>
      </c>
      <c r="C81" s="8" t="s">
        <v>70</v>
      </c>
      <c r="D81" s="8">
        <v>4</v>
      </c>
      <c r="E81" s="8">
        <v>3</v>
      </c>
      <c r="F81" s="8">
        <v>12</v>
      </c>
      <c r="G81" s="8">
        <v>1</v>
      </c>
      <c r="H81" s="8" t="s">
        <v>273</v>
      </c>
      <c r="I81" s="8" t="s">
        <v>31</v>
      </c>
      <c r="J81" s="8" t="s">
        <v>413</v>
      </c>
    </row>
    <row r="82" spans="1:10" x14ac:dyDescent="0.2">
      <c r="A82" s="8" t="s">
        <v>414</v>
      </c>
      <c r="B82" s="8" t="s">
        <v>91</v>
      </c>
      <c r="C82" s="8" t="s">
        <v>70</v>
      </c>
      <c r="D82" s="8">
        <v>4</v>
      </c>
      <c r="E82" s="8">
        <v>3</v>
      </c>
      <c r="F82" s="8">
        <v>12</v>
      </c>
      <c r="G82" s="8">
        <v>1</v>
      </c>
      <c r="H82" s="8" t="s">
        <v>273</v>
      </c>
      <c r="I82" s="8" t="s">
        <v>31</v>
      </c>
      <c r="J82" s="8" t="s">
        <v>415</v>
      </c>
    </row>
    <row r="83" spans="1:10" x14ac:dyDescent="0.2">
      <c r="A83" s="8" t="s">
        <v>416</v>
      </c>
      <c r="B83" s="8" t="s">
        <v>91</v>
      </c>
      <c r="C83" s="8" t="s">
        <v>70</v>
      </c>
      <c r="D83" s="8">
        <v>4</v>
      </c>
      <c r="E83" s="8">
        <v>3</v>
      </c>
      <c r="F83" s="8">
        <v>12</v>
      </c>
      <c r="G83" s="8">
        <v>1</v>
      </c>
      <c r="H83" s="8" t="s">
        <v>273</v>
      </c>
      <c r="I83" s="8" t="s">
        <v>31</v>
      </c>
      <c r="J83" s="8" t="s">
        <v>417</v>
      </c>
    </row>
    <row r="84" spans="1:10" x14ac:dyDescent="0.2">
      <c r="A84" s="8" t="s">
        <v>418</v>
      </c>
      <c r="B84" s="8" t="s">
        <v>91</v>
      </c>
      <c r="C84" s="8" t="s">
        <v>70</v>
      </c>
      <c r="D84" s="8">
        <v>4</v>
      </c>
      <c r="E84" s="8">
        <v>4</v>
      </c>
      <c r="F84" s="8">
        <v>18</v>
      </c>
      <c r="G84" s="8">
        <v>1</v>
      </c>
      <c r="H84" s="8" t="s">
        <v>273</v>
      </c>
      <c r="I84" s="8" t="s">
        <v>31</v>
      </c>
      <c r="J84" s="8" t="s">
        <v>419</v>
      </c>
    </row>
    <row r="85" spans="1:10" x14ac:dyDescent="0.2">
      <c r="A85" s="8" t="s">
        <v>420</v>
      </c>
      <c r="B85" s="8" t="s">
        <v>91</v>
      </c>
      <c r="C85" s="8" t="s">
        <v>70</v>
      </c>
      <c r="D85" s="8">
        <v>4</v>
      </c>
      <c r="E85" s="8">
        <v>4</v>
      </c>
      <c r="F85" s="8">
        <v>18</v>
      </c>
      <c r="G85" s="8">
        <v>1</v>
      </c>
      <c r="H85" s="8" t="s">
        <v>273</v>
      </c>
      <c r="I85" s="8" t="s">
        <v>31</v>
      </c>
      <c r="J85" s="8" t="s">
        <v>421</v>
      </c>
    </row>
    <row r="86" spans="1:10" x14ac:dyDescent="0.2">
      <c r="A86" s="8" t="s">
        <v>422</v>
      </c>
      <c r="B86" s="8" t="s">
        <v>91</v>
      </c>
      <c r="C86" s="8" t="s">
        <v>70</v>
      </c>
      <c r="D86" s="8">
        <v>4</v>
      </c>
      <c r="E86" s="8">
        <v>4</v>
      </c>
      <c r="F86" s="8">
        <v>18</v>
      </c>
      <c r="G86" s="8">
        <v>1</v>
      </c>
      <c r="H86" s="8" t="s">
        <v>273</v>
      </c>
      <c r="I86" s="8" t="s">
        <v>31</v>
      </c>
      <c r="J86" s="8" t="s">
        <v>423</v>
      </c>
    </row>
    <row r="87" spans="1:10" x14ac:dyDescent="0.2">
      <c r="A87" s="8" t="s">
        <v>424</v>
      </c>
      <c r="B87" s="8" t="s">
        <v>91</v>
      </c>
      <c r="C87" s="8" t="s">
        <v>70</v>
      </c>
      <c r="D87" s="8">
        <v>4</v>
      </c>
      <c r="E87" s="8">
        <v>5</v>
      </c>
      <c r="F87" s="8">
        <v>24</v>
      </c>
      <c r="G87" s="8">
        <v>1</v>
      </c>
      <c r="H87" s="8" t="s">
        <v>273</v>
      </c>
      <c r="I87" s="8" t="s">
        <v>31</v>
      </c>
      <c r="J87" s="8" t="s">
        <v>425</v>
      </c>
    </row>
    <row r="88" spans="1:10" x14ac:dyDescent="0.2">
      <c r="A88" s="8" t="s">
        <v>426</v>
      </c>
      <c r="B88" s="8" t="s">
        <v>91</v>
      </c>
      <c r="C88" s="8" t="s">
        <v>70</v>
      </c>
      <c r="D88" s="8">
        <v>4</v>
      </c>
      <c r="E88" s="8">
        <v>5</v>
      </c>
      <c r="F88" s="8">
        <v>24</v>
      </c>
      <c r="G88" s="8">
        <v>1</v>
      </c>
      <c r="H88" s="8" t="s">
        <v>273</v>
      </c>
      <c r="I88" s="8" t="s">
        <v>31</v>
      </c>
      <c r="J88" s="8" t="s">
        <v>427</v>
      </c>
    </row>
    <row r="89" spans="1:10" x14ac:dyDescent="0.2">
      <c r="A89" s="8" t="s">
        <v>428</v>
      </c>
      <c r="B89" s="8" t="s">
        <v>91</v>
      </c>
      <c r="C89" s="8" t="s">
        <v>70</v>
      </c>
      <c r="D89" s="8">
        <v>4</v>
      </c>
      <c r="E89" s="8">
        <v>5</v>
      </c>
      <c r="F89" s="8">
        <v>24</v>
      </c>
      <c r="G89" s="8">
        <v>1</v>
      </c>
      <c r="H89" s="8" t="s">
        <v>273</v>
      </c>
      <c r="I89" s="8" t="s">
        <v>31</v>
      </c>
      <c r="J89" s="8" t="s">
        <v>429</v>
      </c>
    </row>
    <row r="90" spans="1:10" x14ac:dyDescent="0.2">
      <c r="A90" s="8" t="s">
        <v>430</v>
      </c>
      <c r="B90" s="8" t="s">
        <v>91</v>
      </c>
      <c r="C90" s="8" t="s">
        <v>70</v>
      </c>
      <c r="D90" s="8">
        <v>4</v>
      </c>
      <c r="E90" s="8">
        <v>6</v>
      </c>
      <c r="F90" s="8">
        <v>30</v>
      </c>
      <c r="G90" s="8">
        <v>1</v>
      </c>
      <c r="H90" s="8" t="s">
        <v>273</v>
      </c>
      <c r="I90" s="8" t="s">
        <v>31</v>
      </c>
      <c r="J90" s="8" t="s">
        <v>431</v>
      </c>
    </row>
    <row r="91" spans="1:10" x14ac:dyDescent="0.2">
      <c r="A91" s="8" t="s">
        <v>432</v>
      </c>
      <c r="B91" s="8" t="s">
        <v>91</v>
      </c>
      <c r="C91" s="8" t="s">
        <v>70</v>
      </c>
      <c r="D91" s="8">
        <v>4</v>
      </c>
      <c r="E91" s="8">
        <v>6</v>
      </c>
      <c r="F91" s="8">
        <v>30</v>
      </c>
      <c r="G91" s="8">
        <v>1</v>
      </c>
      <c r="H91" s="8" t="s">
        <v>273</v>
      </c>
      <c r="I91" s="8" t="s">
        <v>31</v>
      </c>
      <c r="J91" s="8" t="s">
        <v>433</v>
      </c>
    </row>
    <row r="92" spans="1:10" x14ac:dyDescent="0.2">
      <c r="A92" s="8" t="s">
        <v>434</v>
      </c>
      <c r="B92" s="8" t="s">
        <v>91</v>
      </c>
      <c r="C92" s="8" t="s">
        <v>70</v>
      </c>
      <c r="D92" s="8">
        <v>4</v>
      </c>
      <c r="E92" s="8">
        <v>6</v>
      </c>
      <c r="F92" s="8">
        <v>30</v>
      </c>
      <c r="G92" s="8">
        <v>1</v>
      </c>
      <c r="H92" s="8" t="s">
        <v>273</v>
      </c>
      <c r="I92" s="8" t="s">
        <v>31</v>
      </c>
      <c r="J92" s="8" t="s">
        <v>435</v>
      </c>
    </row>
    <row r="93" spans="1:10" x14ac:dyDescent="0.2">
      <c r="A93" s="8" t="s">
        <v>436</v>
      </c>
      <c r="B93" s="8" t="s">
        <v>101</v>
      </c>
      <c r="C93" s="8" t="s">
        <v>272</v>
      </c>
      <c r="D93" s="8">
        <v>1</v>
      </c>
      <c r="E93" s="8">
        <v>1</v>
      </c>
      <c r="F93" s="8">
        <v>1</v>
      </c>
      <c r="G93" s="8">
        <v>5</v>
      </c>
      <c r="H93" s="8" t="s">
        <v>273</v>
      </c>
      <c r="I93" s="8" t="s">
        <v>31</v>
      </c>
      <c r="J93" s="8" t="s">
        <v>437</v>
      </c>
    </row>
    <row r="94" spans="1:10" x14ac:dyDescent="0.2">
      <c r="A94" s="8" t="s">
        <v>438</v>
      </c>
      <c r="B94" s="8" t="s">
        <v>101</v>
      </c>
      <c r="C94" s="8" t="s">
        <v>272</v>
      </c>
      <c r="D94" s="8">
        <v>1</v>
      </c>
      <c r="E94" s="8">
        <v>2</v>
      </c>
      <c r="F94" s="8">
        <v>6</v>
      </c>
      <c r="G94" s="8">
        <v>5</v>
      </c>
      <c r="H94" s="8" t="s">
        <v>273</v>
      </c>
      <c r="I94" s="8" t="s">
        <v>31</v>
      </c>
      <c r="J94" s="8" t="s">
        <v>439</v>
      </c>
    </row>
    <row r="95" spans="1:10" x14ac:dyDescent="0.2">
      <c r="A95" s="8" t="s">
        <v>440</v>
      </c>
      <c r="B95" s="8" t="s">
        <v>101</v>
      </c>
      <c r="C95" s="8" t="s">
        <v>70</v>
      </c>
      <c r="D95" s="8">
        <v>1</v>
      </c>
      <c r="E95" s="8">
        <v>3</v>
      </c>
      <c r="F95" s="8">
        <v>12</v>
      </c>
      <c r="G95" s="8">
        <v>5</v>
      </c>
      <c r="H95" s="8" t="s">
        <v>273</v>
      </c>
      <c r="I95" s="8" t="s">
        <v>31</v>
      </c>
      <c r="J95" s="8" t="s">
        <v>441</v>
      </c>
    </row>
    <row r="96" spans="1:10" x14ac:dyDescent="0.2">
      <c r="A96" s="8" t="s">
        <v>442</v>
      </c>
      <c r="B96" s="8" t="s">
        <v>101</v>
      </c>
      <c r="C96" s="8" t="s">
        <v>272</v>
      </c>
      <c r="D96" s="8">
        <v>1</v>
      </c>
      <c r="E96" s="8">
        <v>4</v>
      </c>
      <c r="F96" s="8">
        <v>18</v>
      </c>
      <c r="G96" s="8">
        <v>5</v>
      </c>
      <c r="H96" s="8" t="s">
        <v>273</v>
      </c>
      <c r="I96" s="8" t="s">
        <v>31</v>
      </c>
      <c r="J96" s="8" t="s">
        <v>443</v>
      </c>
    </row>
    <row r="97" spans="1:10" x14ac:dyDescent="0.2">
      <c r="A97" s="8" t="s">
        <v>444</v>
      </c>
      <c r="B97" s="8" t="s">
        <v>101</v>
      </c>
      <c r="C97" s="8" t="s">
        <v>272</v>
      </c>
      <c r="D97" s="8">
        <v>1</v>
      </c>
      <c r="E97" s="8">
        <v>5</v>
      </c>
      <c r="F97" s="8">
        <v>24</v>
      </c>
      <c r="G97" s="8">
        <v>5</v>
      </c>
      <c r="H97" s="8" t="s">
        <v>273</v>
      </c>
      <c r="I97" s="8" t="s">
        <v>31</v>
      </c>
      <c r="J97" s="8" t="s">
        <v>445</v>
      </c>
    </row>
    <row r="98" spans="1:10" x14ac:dyDescent="0.2">
      <c r="A98" s="8" t="s">
        <v>446</v>
      </c>
      <c r="B98" s="8" t="s">
        <v>101</v>
      </c>
      <c r="C98" s="8" t="s">
        <v>272</v>
      </c>
      <c r="D98" s="8">
        <v>1</v>
      </c>
      <c r="E98" s="8">
        <v>6</v>
      </c>
      <c r="F98" s="8">
        <v>30</v>
      </c>
      <c r="G98" s="8">
        <v>5</v>
      </c>
      <c r="H98" s="8" t="s">
        <v>273</v>
      </c>
      <c r="I98" s="8" t="s">
        <v>31</v>
      </c>
      <c r="J98" s="8" t="s">
        <v>447</v>
      </c>
    </row>
    <row r="99" spans="1:10" ht="25.5" x14ac:dyDescent="0.2">
      <c r="A99" s="8" t="s">
        <v>100</v>
      </c>
      <c r="B99" s="8" t="s">
        <v>101</v>
      </c>
      <c r="C99" s="8" t="s">
        <v>70</v>
      </c>
      <c r="D99" s="8">
        <v>1</v>
      </c>
      <c r="E99" s="8">
        <v>7</v>
      </c>
      <c r="F99" s="8">
        <v>36</v>
      </c>
      <c r="G99" s="8">
        <v>1</v>
      </c>
      <c r="H99" s="8" t="s">
        <v>292</v>
      </c>
      <c r="I99" s="8" t="s">
        <v>31</v>
      </c>
      <c r="J99" s="8" t="s">
        <v>448</v>
      </c>
    </row>
    <row r="100" spans="1:10" x14ac:dyDescent="0.2">
      <c r="A100" s="8" t="s">
        <v>449</v>
      </c>
      <c r="B100" s="8" t="s">
        <v>101</v>
      </c>
      <c r="C100" s="8" t="s">
        <v>272</v>
      </c>
      <c r="D100" s="8">
        <v>2</v>
      </c>
      <c r="E100" s="8">
        <v>1</v>
      </c>
      <c r="F100" s="8">
        <v>1</v>
      </c>
      <c r="G100" s="8">
        <v>5</v>
      </c>
      <c r="H100" s="8" t="s">
        <v>273</v>
      </c>
      <c r="I100" s="8" t="s">
        <v>31</v>
      </c>
      <c r="J100" s="8" t="s">
        <v>450</v>
      </c>
    </row>
    <row r="101" spans="1:10" ht="25.5" x14ac:dyDescent="0.2">
      <c r="A101" s="8" t="s">
        <v>103</v>
      </c>
      <c r="B101" s="8" t="s">
        <v>101</v>
      </c>
      <c r="C101" s="8" t="s">
        <v>70</v>
      </c>
      <c r="D101" s="8">
        <v>2</v>
      </c>
      <c r="E101" s="8">
        <v>2</v>
      </c>
      <c r="F101" s="8">
        <v>6</v>
      </c>
      <c r="G101" s="8">
        <v>5</v>
      </c>
      <c r="H101" s="8" t="s">
        <v>292</v>
      </c>
      <c r="I101" s="8" t="s">
        <v>31</v>
      </c>
      <c r="J101" s="8" t="s">
        <v>451</v>
      </c>
    </row>
    <row r="102" spans="1:10" ht="25.5" x14ac:dyDescent="0.2">
      <c r="A102" s="8" t="s">
        <v>105</v>
      </c>
      <c r="B102" s="8" t="s">
        <v>101</v>
      </c>
      <c r="C102" s="8" t="s">
        <v>70</v>
      </c>
      <c r="D102" s="8">
        <v>2</v>
      </c>
      <c r="E102" s="8">
        <v>3</v>
      </c>
      <c r="F102" s="8">
        <v>12</v>
      </c>
      <c r="G102" s="8">
        <v>5</v>
      </c>
      <c r="H102" s="8" t="s">
        <v>292</v>
      </c>
      <c r="I102" s="8" t="s">
        <v>31</v>
      </c>
      <c r="J102" s="8" t="s">
        <v>452</v>
      </c>
    </row>
    <row r="103" spans="1:10" x14ac:dyDescent="0.2">
      <c r="A103" s="8" t="s">
        <v>453</v>
      </c>
      <c r="B103" s="8" t="s">
        <v>101</v>
      </c>
      <c r="C103" s="8" t="s">
        <v>70</v>
      </c>
      <c r="D103" s="8">
        <v>2</v>
      </c>
      <c r="E103" s="8">
        <v>4</v>
      </c>
      <c r="F103" s="8">
        <v>18</v>
      </c>
      <c r="G103" s="8">
        <v>5</v>
      </c>
      <c r="H103" s="8" t="s">
        <v>273</v>
      </c>
      <c r="I103" s="8" t="s">
        <v>31</v>
      </c>
      <c r="J103" s="8" t="s">
        <v>454</v>
      </c>
    </row>
    <row r="104" spans="1:10" ht="25.5" x14ac:dyDescent="0.2">
      <c r="A104" s="8" t="s">
        <v>455</v>
      </c>
      <c r="B104" s="8" t="s">
        <v>101</v>
      </c>
      <c r="C104" s="8" t="s">
        <v>272</v>
      </c>
      <c r="D104" s="8">
        <v>2</v>
      </c>
      <c r="E104" s="8">
        <v>5</v>
      </c>
      <c r="F104" s="8">
        <v>24</v>
      </c>
      <c r="G104" s="8">
        <v>5</v>
      </c>
      <c r="H104" s="8" t="s">
        <v>273</v>
      </c>
      <c r="I104" s="8" t="s">
        <v>31</v>
      </c>
      <c r="J104" s="8" t="s">
        <v>456</v>
      </c>
    </row>
    <row r="105" spans="1:10" x14ac:dyDescent="0.2">
      <c r="A105" s="8" t="s">
        <v>457</v>
      </c>
      <c r="B105" s="8" t="s">
        <v>101</v>
      </c>
      <c r="C105" s="8" t="s">
        <v>272</v>
      </c>
      <c r="D105" s="8">
        <v>2</v>
      </c>
      <c r="E105" s="8">
        <v>6</v>
      </c>
      <c r="F105" s="8">
        <v>30</v>
      </c>
      <c r="G105" s="8">
        <v>5</v>
      </c>
      <c r="H105" s="8" t="s">
        <v>273</v>
      </c>
      <c r="I105" s="8" t="s">
        <v>31</v>
      </c>
      <c r="J105" s="8" t="s">
        <v>458</v>
      </c>
    </row>
    <row r="106" spans="1:10" ht="25.5" x14ac:dyDescent="0.2">
      <c r="A106" s="8" t="s">
        <v>108</v>
      </c>
      <c r="B106" s="8" t="s">
        <v>101</v>
      </c>
      <c r="C106" s="8" t="s">
        <v>70</v>
      </c>
      <c r="D106" s="8">
        <v>2</v>
      </c>
      <c r="E106" s="8">
        <v>7</v>
      </c>
      <c r="F106" s="8">
        <v>36</v>
      </c>
      <c r="G106" s="8">
        <v>1</v>
      </c>
      <c r="H106" s="8" t="s">
        <v>292</v>
      </c>
      <c r="I106" s="8" t="s">
        <v>31</v>
      </c>
      <c r="J106" s="8" t="s">
        <v>459</v>
      </c>
    </row>
    <row r="107" spans="1:10" ht="25.5" x14ac:dyDescent="0.2">
      <c r="A107" s="8" t="s">
        <v>460</v>
      </c>
      <c r="B107" s="8" t="s">
        <v>101</v>
      </c>
      <c r="C107" s="8" t="s">
        <v>272</v>
      </c>
      <c r="D107" s="8">
        <v>3</v>
      </c>
      <c r="E107" s="8">
        <v>1</v>
      </c>
      <c r="F107" s="8">
        <v>1</v>
      </c>
      <c r="G107" s="8">
        <v>5</v>
      </c>
      <c r="H107" s="8" t="s">
        <v>292</v>
      </c>
      <c r="I107" s="8" t="s">
        <v>254</v>
      </c>
      <c r="J107" s="8" t="s">
        <v>461</v>
      </c>
    </row>
    <row r="108" spans="1:10" ht="25.5" x14ac:dyDescent="0.2">
      <c r="A108" s="8" t="s">
        <v>111</v>
      </c>
      <c r="B108" s="8" t="s">
        <v>101</v>
      </c>
      <c r="C108" s="8" t="s">
        <v>23</v>
      </c>
      <c r="D108" s="8">
        <v>3</v>
      </c>
      <c r="E108" s="8">
        <v>2</v>
      </c>
      <c r="F108" s="8">
        <v>6</v>
      </c>
      <c r="G108" s="8">
        <v>5</v>
      </c>
      <c r="H108" s="8" t="s">
        <v>292</v>
      </c>
      <c r="I108" s="8" t="s">
        <v>31</v>
      </c>
      <c r="J108" s="8" t="s">
        <v>462</v>
      </c>
    </row>
    <row r="109" spans="1:10" x14ac:dyDescent="0.2">
      <c r="A109" s="8" t="s">
        <v>463</v>
      </c>
      <c r="B109" s="8" t="s">
        <v>101</v>
      </c>
      <c r="C109" s="8" t="s">
        <v>272</v>
      </c>
      <c r="D109" s="8">
        <v>3</v>
      </c>
      <c r="E109" s="8">
        <v>3</v>
      </c>
      <c r="F109" s="8">
        <v>12</v>
      </c>
      <c r="G109" s="8">
        <v>5</v>
      </c>
      <c r="H109" s="8" t="s">
        <v>273</v>
      </c>
      <c r="I109" s="8" t="s">
        <v>31</v>
      </c>
      <c r="J109" s="8" t="s">
        <v>464</v>
      </c>
    </row>
    <row r="110" spans="1:10" ht="25.5" x14ac:dyDescent="0.2">
      <c r="A110" s="8" t="s">
        <v>465</v>
      </c>
      <c r="B110" s="8" t="s">
        <v>101</v>
      </c>
      <c r="C110" s="8" t="s">
        <v>272</v>
      </c>
      <c r="D110" s="8">
        <v>3</v>
      </c>
      <c r="E110" s="8">
        <v>4</v>
      </c>
      <c r="F110" s="8">
        <v>18</v>
      </c>
      <c r="G110" s="8">
        <v>5</v>
      </c>
      <c r="H110" s="8" t="s">
        <v>292</v>
      </c>
      <c r="I110" s="8" t="s">
        <v>378</v>
      </c>
      <c r="J110" s="8" t="s">
        <v>466</v>
      </c>
    </row>
    <row r="111" spans="1:10" x14ac:dyDescent="0.2">
      <c r="A111" s="8" t="s">
        <v>467</v>
      </c>
      <c r="B111" s="8" t="s">
        <v>101</v>
      </c>
      <c r="C111" s="8" t="s">
        <v>272</v>
      </c>
      <c r="D111" s="8">
        <v>3</v>
      </c>
      <c r="E111" s="8">
        <v>5</v>
      </c>
      <c r="F111" s="8">
        <v>24</v>
      </c>
      <c r="G111" s="8">
        <v>5</v>
      </c>
      <c r="H111" s="8" t="s">
        <v>273</v>
      </c>
      <c r="I111" s="8" t="s">
        <v>31</v>
      </c>
      <c r="J111" s="8" t="s">
        <v>468</v>
      </c>
    </row>
    <row r="112" spans="1:10" x14ac:dyDescent="0.2">
      <c r="A112" s="8" t="s">
        <v>469</v>
      </c>
      <c r="B112" s="8" t="s">
        <v>101</v>
      </c>
      <c r="C112" s="8" t="s">
        <v>272</v>
      </c>
      <c r="D112" s="8">
        <v>3</v>
      </c>
      <c r="E112" s="8">
        <v>6</v>
      </c>
      <c r="F112" s="8">
        <v>30</v>
      </c>
      <c r="G112" s="8">
        <v>5</v>
      </c>
      <c r="H112" s="8" t="s">
        <v>273</v>
      </c>
      <c r="I112" s="8" t="s">
        <v>31</v>
      </c>
      <c r="J112" s="8" t="s">
        <v>470</v>
      </c>
    </row>
    <row r="113" spans="1:10" ht="25.5" x14ac:dyDescent="0.2">
      <c r="A113" s="8" t="s">
        <v>112</v>
      </c>
      <c r="B113" s="8" t="s">
        <v>101</v>
      </c>
      <c r="C113" s="8" t="s">
        <v>70</v>
      </c>
      <c r="D113" s="8">
        <v>3</v>
      </c>
      <c r="E113" s="8">
        <v>7</v>
      </c>
      <c r="F113" s="8">
        <v>36</v>
      </c>
      <c r="G113" s="8">
        <v>1</v>
      </c>
      <c r="H113" s="8" t="s">
        <v>292</v>
      </c>
      <c r="I113" s="8" t="s">
        <v>31</v>
      </c>
      <c r="J113" s="8" t="s">
        <v>471</v>
      </c>
    </row>
    <row r="114" spans="1:10" x14ac:dyDescent="0.2">
      <c r="A114" s="8" t="s">
        <v>472</v>
      </c>
      <c r="B114" s="8" t="s">
        <v>101</v>
      </c>
      <c r="C114" s="8" t="s">
        <v>70</v>
      </c>
      <c r="D114" s="8">
        <v>4</v>
      </c>
      <c r="E114" s="8">
        <v>1</v>
      </c>
      <c r="F114" s="8">
        <v>1</v>
      </c>
      <c r="G114" s="8">
        <v>1</v>
      </c>
      <c r="H114" s="8" t="s">
        <v>273</v>
      </c>
      <c r="I114" s="8" t="s">
        <v>31</v>
      </c>
      <c r="J114" s="8" t="s">
        <v>473</v>
      </c>
    </row>
    <row r="115" spans="1:10" x14ac:dyDescent="0.2">
      <c r="A115" s="8" t="s">
        <v>474</v>
      </c>
      <c r="B115" s="8" t="s">
        <v>101</v>
      </c>
      <c r="C115" s="8" t="s">
        <v>70</v>
      </c>
      <c r="D115" s="8">
        <v>4</v>
      </c>
      <c r="E115" s="8">
        <v>1</v>
      </c>
      <c r="F115" s="8">
        <v>1</v>
      </c>
      <c r="G115" s="8">
        <v>1</v>
      </c>
      <c r="H115" s="8" t="s">
        <v>273</v>
      </c>
      <c r="I115" s="8" t="s">
        <v>31</v>
      </c>
      <c r="J115" s="8" t="s">
        <v>475</v>
      </c>
    </row>
    <row r="116" spans="1:10" x14ac:dyDescent="0.2">
      <c r="A116" s="8" t="s">
        <v>476</v>
      </c>
      <c r="B116" s="8" t="s">
        <v>101</v>
      </c>
      <c r="C116" s="8" t="s">
        <v>70</v>
      </c>
      <c r="D116" s="8">
        <v>4</v>
      </c>
      <c r="E116" s="8">
        <v>1</v>
      </c>
      <c r="F116" s="8">
        <v>1</v>
      </c>
      <c r="G116" s="8">
        <v>1</v>
      </c>
      <c r="H116" s="8" t="s">
        <v>273</v>
      </c>
      <c r="I116" s="8" t="s">
        <v>31</v>
      </c>
      <c r="J116" s="8" t="s">
        <v>477</v>
      </c>
    </row>
    <row r="117" spans="1:10" x14ac:dyDescent="0.2">
      <c r="A117" s="8" t="s">
        <v>478</v>
      </c>
      <c r="B117" s="8" t="s">
        <v>101</v>
      </c>
      <c r="C117" s="8" t="s">
        <v>70</v>
      </c>
      <c r="D117" s="8">
        <v>4</v>
      </c>
      <c r="E117" s="8">
        <v>2</v>
      </c>
      <c r="F117" s="8">
        <v>6</v>
      </c>
      <c r="G117" s="8">
        <v>1</v>
      </c>
      <c r="H117" s="8" t="s">
        <v>273</v>
      </c>
      <c r="I117" s="8" t="s">
        <v>31</v>
      </c>
      <c r="J117" s="8" t="s">
        <v>479</v>
      </c>
    </row>
    <row r="118" spans="1:10" x14ac:dyDescent="0.2">
      <c r="A118" s="8" t="s">
        <v>480</v>
      </c>
      <c r="B118" s="8" t="s">
        <v>101</v>
      </c>
      <c r="C118" s="8" t="s">
        <v>70</v>
      </c>
      <c r="D118" s="8">
        <v>4</v>
      </c>
      <c r="E118" s="8">
        <v>2</v>
      </c>
      <c r="F118" s="8">
        <v>6</v>
      </c>
      <c r="G118" s="8">
        <v>1</v>
      </c>
      <c r="H118" s="8" t="s">
        <v>273</v>
      </c>
      <c r="I118" s="8" t="s">
        <v>31</v>
      </c>
      <c r="J118" s="8" t="s">
        <v>481</v>
      </c>
    </row>
    <row r="119" spans="1:10" x14ac:dyDescent="0.2">
      <c r="A119" s="8" t="s">
        <v>482</v>
      </c>
      <c r="B119" s="8" t="s">
        <v>101</v>
      </c>
      <c r="C119" s="8" t="s">
        <v>70</v>
      </c>
      <c r="D119" s="8">
        <v>4</v>
      </c>
      <c r="E119" s="8">
        <v>2</v>
      </c>
      <c r="F119" s="8">
        <v>6</v>
      </c>
      <c r="G119" s="8">
        <v>1</v>
      </c>
      <c r="H119" s="8" t="s">
        <v>273</v>
      </c>
      <c r="I119" s="8" t="s">
        <v>31</v>
      </c>
      <c r="J119" s="8" t="s">
        <v>483</v>
      </c>
    </row>
    <row r="120" spans="1:10" x14ac:dyDescent="0.2">
      <c r="A120" s="8" t="s">
        <v>484</v>
      </c>
      <c r="B120" s="8" t="s">
        <v>101</v>
      </c>
      <c r="C120" s="8" t="s">
        <v>70</v>
      </c>
      <c r="D120" s="8">
        <v>4</v>
      </c>
      <c r="E120" s="8">
        <v>3</v>
      </c>
      <c r="F120" s="8">
        <v>12</v>
      </c>
      <c r="G120" s="8">
        <v>1</v>
      </c>
      <c r="H120" s="8" t="s">
        <v>273</v>
      </c>
      <c r="I120" s="8" t="s">
        <v>31</v>
      </c>
      <c r="J120" s="8" t="s">
        <v>485</v>
      </c>
    </row>
    <row r="121" spans="1:10" x14ac:dyDescent="0.2">
      <c r="A121" s="8" t="s">
        <v>486</v>
      </c>
      <c r="B121" s="8" t="s">
        <v>101</v>
      </c>
      <c r="C121" s="8" t="s">
        <v>70</v>
      </c>
      <c r="D121" s="8">
        <v>4</v>
      </c>
      <c r="E121" s="8">
        <v>3</v>
      </c>
      <c r="F121" s="8">
        <v>12</v>
      </c>
      <c r="G121" s="8">
        <v>1</v>
      </c>
      <c r="H121" s="8" t="s">
        <v>273</v>
      </c>
      <c r="I121" s="8" t="s">
        <v>31</v>
      </c>
      <c r="J121" s="8" t="s">
        <v>487</v>
      </c>
    </row>
    <row r="122" spans="1:10" x14ac:dyDescent="0.2">
      <c r="A122" s="8" t="s">
        <v>488</v>
      </c>
      <c r="B122" s="8" t="s">
        <v>101</v>
      </c>
      <c r="C122" s="8" t="s">
        <v>70</v>
      </c>
      <c r="D122" s="8">
        <v>4</v>
      </c>
      <c r="E122" s="8">
        <v>3</v>
      </c>
      <c r="F122" s="8">
        <v>12</v>
      </c>
      <c r="G122" s="8">
        <v>1</v>
      </c>
      <c r="H122" s="8" t="s">
        <v>273</v>
      </c>
      <c r="I122" s="8" t="s">
        <v>31</v>
      </c>
      <c r="J122" s="8" t="s">
        <v>489</v>
      </c>
    </row>
    <row r="123" spans="1:10" x14ac:dyDescent="0.2">
      <c r="A123" s="8" t="s">
        <v>490</v>
      </c>
      <c r="B123" s="8" t="s">
        <v>101</v>
      </c>
      <c r="C123" s="8" t="s">
        <v>70</v>
      </c>
      <c r="D123" s="8">
        <v>4</v>
      </c>
      <c r="E123" s="8">
        <v>4</v>
      </c>
      <c r="F123" s="8">
        <v>18</v>
      </c>
      <c r="G123" s="8">
        <v>1</v>
      </c>
      <c r="H123" s="8" t="s">
        <v>273</v>
      </c>
      <c r="I123" s="8" t="s">
        <v>31</v>
      </c>
      <c r="J123" s="8" t="s">
        <v>491</v>
      </c>
    </row>
    <row r="124" spans="1:10" x14ac:dyDescent="0.2">
      <c r="A124" s="8" t="s">
        <v>492</v>
      </c>
      <c r="B124" s="8" t="s">
        <v>101</v>
      </c>
      <c r="C124" s="8" t="s">
        <v>70</v>
      </c>
      <c r="D124" s="8">
        <v>4</v>
      </c>
      <c r="E124" s="8">
        <v>4</v>
      </c>
      <c r="F124" s="8">
        <v>18</v>
      </c>
      <c r="G124" s="8">
        <v>1</v>
      </c>
      <c r="H124" s="8" t="s">
        <v>273</v>
      </c>
      <c r="I124" s="8" t="s">
        <v>31</v>
      </c>
      <c r="J124" s="8" t="s">
        <v>493</v>
      </c>
    </row>
    <row r="125" spans="1:10" x14ac:dyDescent="0.2">
      <c r="A125" s="8" t="s">
        <v>494</v>
      </c>
      <c r="B125" s="8" t="s">
        <v>101</v>
      </c>
      <c r="C125" s="8" t="s">
        <v>70</v>
      </c>
      <c r="D125" s="8">
        <v>4</v>
      </c>
      <c r="E125" s="8">
        <v>4</v>
      </c>
      <c r="F125" s="8">
        <v>18</v>
      </c>
      <c r="G125" s="8">
        <v>1</v>
      </c>
      <c r="H125" s="8" t="s">
        <v>273</v>
      </c>
      <c r="I125" s="8" t="s">
        <v>31</v>
      </c>
      <c r="J125" s="8" t="s">
        <v>495</v>
      </c>
    </row>
    <row r="126" spans="1:10" x14ac:dyDescent="0.2">
      <c r="A126" s="8" t="s">
        <v>496</v>
      </c>
      <c r="B126" s="8" t="s">
        <v>101</v>
      </c>
      <c r="C126" s="8" t="s">
        <v>70</v>
      </c>
      <c r="D126" s="8">
        <v>4</v>
      </c>
      <c r="E126" s="8">
        <v>5</v>
      </c>
      <c r="F126" s="8">
        <v>24</v>
      </c>
      <c r="G126" s="8">
        <v>1</v>
      </c>
      <c r="H126" s="8" t="s">
        <v>273</v>
      </c>
      <c r="I126" s="8" t="s">
        <v>31</v>
      </c>
      <c r="J126" s="8" t="s">
        <v>497</v>
      </c>
    </row>
    <row r="127" spans="1:10" x14ac:dyDescent="0.2">
      <c r="A127" s="8" t="s">
        <v>498</v>
      </c>
      <c r="B127" s="8" t="s">
        <v>101</v>
      </c>
      <c r="C127" s="8" t="s">
        <v>70</v>
      </c>
      <c r="D127" s="8">
        <v>4</v>
      </c>
      <c r="E127" s="8">
        <v>5</v>
      </c>
      <c r="F127" s="8">
        <v>24</v>
      </c>
      <c r="G127" s="8">
        <v>1</v>
      </c>
      <c r="H127" s="8" t="s">
        <v>273</v>
      </c>
      <c r="I127" s="8" t="s">
        <v>31</v>
      </c>
      <c r="J127" s="8" t="s">
        <v>499</v>
      </c>
    </row>
    <row r="128" spans="1:10" x14ac:dyDescent="0.2">
      <c r="A128" s="8" t="s">
        <v>500</v>
      </c>
      <c r="B128" s="8" t="s">
        <v>101</v>
      </c>
      <c r="C128" s="8" t="s">
        <v>70</v>
      </c>
      <c r="D128" s="8">
        <v>4</v>
      </c>
      <c r="E128" s="8">
        <v>5</v>
      </c>
      <c r="F128" s="8">
        <v>24</v>
      </c>
      <c r="G128" s="8">
        <v>1</v>
      </c>
      <c r="H128" s="8" t="s">
        <v>273</v>
      </c>
      <c r="I128" s="8" t="s">
        <v>31</v>
      </c>
      <c r="J128" s="8" t="s">
        <v>501</v>
      </c>
    </row>
    <row r="129" spans="1:10" x14ac:dyDescent="0.2">
      <c r="A129" s="8" t="s">
        <v>502</v>
      </c>
      <c r="B129" s="8" t="s">
        <v>101</v>
      </c>
      <c r="C129" s="8" t="s">
        <v>70</v>
      </c>
      <c r="D129" s="8">
        <v>4</v>
      </c>
      <c r="E129" s="8">
        <v>6</v>
      </c>
      <c r="F129" s="8">
        <v>30</v>
      </c>
      <c r="G129" s="8">
        <v>1</v>
      </c>
      <c r="H129" s="8" t="s">
        <v>273</v>
      </c>
      <c r="I129" s="8" t="s">
        <v>31</v>
      </c>
      <c r="J129" s="8" t="s">
        <v>503</v>
      </c>
    </row>
    <row r="130" spans="1:10" x14ac:dyDescent="0.2">
      <c r="A130" s="8" t="s">
        <v>504</v>
      </c>
      <c r="B130" s="8" t="s">
        <v>101</v>
      </c>
      <c r="C130" s="8" t="s">
        <v>70</v>
      </c>
      <c r="D130" s="8">
        <v>4</v>
      </c>
      <c r="E130" s="8">
        <v>6</v>
      </c>
      <c r="F130" s="8">
        <v>30</v>
      </c>
      <c r="G130" s="8">
        <v>1</v>
      </c>
      <c r="H130" s="8" t="s">
        <v>273</v>
      </c>
      <c r="I130" s="8" t="s">
        <v>31</v>
      </c>
      <c r="J130" s="8" t="s">
        <v>505</v>
      </c>
    </row>
    <row r="131" spans="1:10" x14ac:dyDescent="0.2">
      <c r="A131" s="8" t="s">
        <v>506</v>
      </c>
      <c r="B131" s="8" t="s">
        <v>101</v>
      </c>
      <c r="C131" s="8" t="s">
        <v>70</v>
      </c>
      <c r="D131" s="8">
        <v>4</v>
      </c>
      <c r="E131" s="8">
        <v>6</v>
      </c>
      <c r="F131" s="8">
        <v>30</v>
      </c>
      <c r="G131" s="8">
        <v>1</v>
      </c>
      <c r="H131" s="8" t="s">
        <v>273</v>
      </c>
      <c r="I131" s="8" t="s">
        <v>31</v>
      </c>
      <c r="J131" s="8" t="s">
        <v>507</v>
      </c>
    </row>
    <row r="132" spans="1:10" x14ac:dyDescent="0.2">
      <c r="A132" s="8" t="s">
        <v>508</v>
      </c>
      <c r="B132" s="8" t="s">
        <v>22</v>
      </c>
      <c r="C132" s="8" t="s">
        <v>272</v>
      </c>
      <c r="D132" s="8">
        <v>1</v>
      </c>
      <c r="E132" s="8">
        <v>1</v>
      </c>
      <c r="F132" s="8">
        <v>1</v>
      </c>
      <c r="G132" s="8">
        <v>98</v>
      </c>
      <c r="H132" s="8" t="s">
        <v>273</v>
      </c>
      <c r="I132" s="8" t="s">
        <v>31</v>
      </c>
      <c r="J132" s="8" t="s">
        <v>509</v>
      </c>
    </row>
    <row r="133" spans="1:10" x14ac:dyDescent="0.2">
      <c r="A133" s="8" t="s">
        <v>510</v>
      </c>
      <c r="B133" s="8" t="s">
        <v>22</v>
      </c>
      <c r="C133" s="8" t="s">
        <v>272</v>
      </c>
      <c r="D133" s="8">
        <v>1</v>
      </c>
      <c r="E133" s="8">
        <v>1</v>
      </c>
      <c r="F133" s="8">
        <v>1</v>
      </c>
      <c r="G133" s="8">
        <v>98</v>
      </c>
      <c r="H133" s="8" t="s">
        <v>292</v>
      </c>
      <c r="I133" s="8" t="s">
        <v>511</v>
      </c>
      <c r="J133" s="8" t="s">
        <v>512</v>
      </c>
    </row>
    <row r="134" spans="1:10" x14ac:dyDescent="0.2">
      <c r="A134" s="8" t="s">
        <v>186</v>
      </c>
      <c r="B134" s="8" t="s">
        <v>22</v>
      </c>
      <c r="C134" s="8" t="s">
        <v>272</v>
      </c>
      <c r="D134" s="8">
        <v>1</v>
      </c>
      <c r="E134" s="8">
        <v>1</v>
      </c>
      <c r="F134" s="8">
        <v>1</v>
      </c>
      <c r="G134" s="8">
        <v>98</v>
      </c>
      <c r="H134" s="8" t="s">
        <v>273</v>
      </c>
      <c r="I134" s="8" t="s">
        <v>31</v>
      </c>
      <c r="J134" s="8" t="s">
        <v>513</v>
      </c>
    </row>
    <row r="135" spans="1:10" x14ac:dyDescent="0.2">
      <c r="A135" s="8" t="s">
        <v>264</v>
      </c>
      <c r="B135" s="8" t="s">
        <v>22</v>
      </c>
      <c r="C135" s="8" t="s">
        <v>272</v>
      </c>
      <c r="D135" s="8">
        <v>1</v>
      </c>
      <c r="E135" s="8">
        <v>2</v>
      </c>
      <c r="F135" s="8">
        <v>6</v>
      </c>
      <c r="G135" s="8">
        <v>98</v>
      </c>
      <c r="H135" s="8" t="s">
        <v>292</v>
      </c>
      <c r="I135" s="8" t="s">
        <v>264</v>
      </c>
      <c r="J135" s="8" t="s">
        <v>514</v>
      </c>
    </row>
    <row r="136" spans="1:10" x14ac:dyDescent="0.2">
      <c r="A136" s="8" t="s">
        <v>242</v>
      </c>
      <c r="B136" s="8" t="s">
        <v>22</v>
      </c>
      <c r="C136" s="8" t="s">
        <v>272</v>
      </c>
      <c r="D136" s="8">
        <v>1</v>
      </c>
      <c r="E136" s="8">
        <v>2</v>
      </c>
      <c r="F136" s="8">
        <v>6</v>
      </c>
      <c r="G136" s="8">
        <v>98</v>
      </c>
      <c r="H136" s="8" t="s">
        <v>292</v>
      </c>
      <c r="I136" s="8" t="s">
        <v>242</v>
      </c>
      <c r="J136" s="8" t="s">
        <v>515</v>
      </c>
    </row>
    <row r="137" spans="1:10" x14ac:dyDescent="0.2">
      <c r="A137" s="8" t="s">
        <v>516</v>
      </c>
      <c r="B137" s="8" t="s">
        <v>22</v>
      </c>
      <c r="C137" s="8" t="s">
        <v>272</v>
      </c>
      <c r="D137" s="8">
        <v>1</v>
      </c>
      <c r="E137" s="8">
        <v>3</v>
      </c>
      <c r="F137" s="8">
        <v>12</v>
      </c>
      <c r="G137" s="8">
        <v>98</v>
      </c>
      <c r="H137" s="8" t="s">
        <v>273</v>
      </c>
      <c r="I137" s="8" t="s">
        <v>31</v>
      </c>
      <c r="J137" s="8" t="s">
        <v>517</v>
      </c>
    </row>
    <row r="138" spans="1:10" x14ac:dyDescent="0.2">
      <c r="A138" s="8" t="s">
        <v>244</v>
      </c>
      <c r="B138" s="8" t="s">
        <v>22</v>
      </c>
      <c r="C138" s="8" t="s">
        <v>272</v>
      </c>
      <c r="D138" s="8">
        <v>1</v>
      </c>
      <c r="E138" s="8">
        <v>3</v>
      </c>
      <c r="F138" s="8">
        <v>12</v>
      </c>
      <c r="G138" s="8">
        <v>98</v>
      </c>
      <c r="H138" s="8" t="s">
        <v>292</v>
      </c>
      <c r="I138" s="8" t="s">
        <v>518</v>
      </c>
      <c r="J138" s="8" t="s">
        <v>519</v>
      </c>
    </row>
    <row r="139" spans="1:10" x14ac:dyDescent="0.2">
      <c r="A139" s="8" t="s">
        <v>241</v>
      </c>
      <c r="B139" s="8" t="s">
        <v>22</v>
      </c>
      <c r="C139" s="8" t="s">
        <v>272</v>
      </c>
      <c r="D139" s="8">
        <v>1</v>
      </c>
      <c r="E139" s="8">
        <v>4</v>
      </c>
      <c r="F139" s="8">
        <v>18</v>
      </c>
      <c r="G139" s="8">
        <v>98</v>
      </c>
      <c r="H139" s="8" t="s">
        <v>292</v>
      </c>
      <c r="I139" s="8" t="s">
        <v>520</v>
      </c>
      <c r="J139" s="8" t="s">
        <v>521</v>
      </c>
    </row>
    <row r="140" spans="1:10" x14ac:dyDescent="0.2">
      <c r="A140" s="8" t="s">
        <v>239</v>
      </c>
      <c r="B140" s="8" t="s">
        <v>22</v>
      </c>
      <c r="C140" s="8" t="s">
        <v>272</v>
      </c>
      <c r="D140" s="8">
        <v>1</v>
      </c>
      <c r="E140" s="8">
        <v>4</v>
      </c>
      <c r="F140" s="8">
        <v>18</v>
      </c>
      <c r="G140" s="8">
        <v>98</v>
      </c>
      <c r="H140" s="8" t="s">
        <v>292</v>
      </c>
      <c r="I140" s="8" t="s">
        <v>522</v>
      </c>
      <c r="J140" s="8" t="s">
        <v>523</v>
      </c>
    </row>
    <row r="141" spans="1:10" x14ac:dyDescent="0.2">
      <c r="A141" s="8" t="s">
        <v>524</v>
      </c>
      <c r="B141" s="8" t="s">
        <v>22</v>
      </c>
      <c r="C141" s="8" t="s">
        <v>272</v>
      </c>
      <c r="D141" s="8">
        <v>1</v>
      </c>
      <c r="E141" s="8">
        <v>5</v>
      </c>
      <c r="F141" s="8">
        <v>24</v>
      </c>
      <c r="G141" s="8">
        <v>98</v>
      </c>
      <c r="H141" s="8" t="s">
        <v>273</v>
      </c>
      <c r="I141" s="8" t="s">
        <v>31</v>
      </c>
      <c r="J141" s="8" t="s">
        <v>525</v>
      </c>
    </row>
    <row r="142" spans="1:10" x14ac:dyDescent="0.2">
      <c r="A142" s="8" t="s">
        <v>243</v>
      </c>
      <c r="B142" s="8" t="s">
        <v>22</v>
      </c>
      <c r="C142" s="8" t="s">
        <v>272</v>
      </c>
      <c r="D142" s="8">
        <v>1</v>
      </c>
      <c r="E142" s="8">
        <v>6</v>
      </c>
      <c r="F142" s="8">
        <v>30</v>
      </c>
      <c r="G142" s="8">
        <v>98</v>
      </c>
      <c r="H142" s="8" t="s">
        <v>292</v>
      </c>
      <c r="I142" s="8" t="s">
        <v>526</v>
      </c>
      <c r="J142" s="8" t="s">
        <v>527</v>
      </c>
    </row>
    <row r="143" spans="1:10" x14ac:dyDescent="0.2">
      <c r="A143" s="8" t="s">
        <v>21</v>
      </c>
      <c r="B143" s="8" t="s">
        <v>22</v>
      </c>
      <c r="C143" s="8" t="s">
        <v>23</v>
      </c>
      <c r="D143" s="8">
        <v>2</v>
      </c>
      <c r="E143" s="8">
        <v>1</v>
      </c>
      <c r="F143" s="8">
        <v>1</v>
      </c>
      <c r="G143" s="8">
        <v>98</v>
      </c>
      <c r="H143" s="8" t="s">
        <v>292</v>
      </c>
      <c r="I143" s="8" t="s">
        <v>31</v>
      </c>
      <c r="J143" s="8" t="s">
        <v>528</v>
      </c>
    </row>
    <row r="144" spans="1:10" x14ac:dyDescent="0.2">
      <c r="A144" s="8" t="s">
        <v>26</v>
      </c>
      <c r="B144" s="8" t="s">
        <v>22</v>
      </c>
      <c r="C144" s="8" t="s">
        <v>23</v>
      </c>
      <c r="D144" s="8">
        <v>2</v>
      </c>
      <c r="E144" s="8">
        <v>2</v>
      </c>
      <c r="F144" s="8">
        <v>6</v>
      </c>
      <c r="G144" s="8">
        <v>98</v>
      </c>
      <c r="H144" s="8" t="s">
        <v>292</v>
      </c>
      <c r="I144" s="8" t="s">
        <v>31</v>
      </c>
      <c r="J144" s="8" t="s">
        <v>529</v>
      </c>
    </row>
    <row r="145" spans="1:10" ht="25.5" x14ac:dyDescent="0.2">
      <c r="A145" s="8" t="s">
        <v>29</v>
      </c>
      <c r="B145" s="8" t="s">
        <v>22</v>
      </c>
      <c r="C145" s="8" t="s">
        <v>23</v>
      </c>
      <c r="D145" s="8">
        <v>2</v>
      </c>
      <c r="E145" s="8">
        <v>2</v>
      </c>
      <c r="F145" s="8">
        <v>6</v>
      </c>
      <c r="G145" s="8">
        <v>98</v>
      </c>
      <c r="H145" s="8" t="s">
        <v>292</v>
      </c>
      <c r="I145" s="8" t="s">
        <v>31</v>
      </c>
      <c r="J145" s="8" t="s">
        <v>530</v>
      </c>
    </row>
    <row r="146" spans="1:10" x14ac:dyDescent="0.2">
      <c r="A146" s="8" t="s">
        <v>33</v>
      </c>
      <c r="B146" s="8" t="s">
        <v>22</v>
      </c>
      <c r="C146" s="8" t="s">
        <v>23</v>
      </c>
      <c r="D146" s="8">
        <v>2</v>
      </c>
      <c r="E146" s="8">
        <v>3</v>
      </c>
      <c r="F146" s="8">
        <v>12</v>
      </c>
      <c r="G146" s="8">
        <v>98</v>
      </c>
      <c r="H146" s="8" t="s">
        <v>292</v>
      </c>
      <c r="I146" s="8" t="s">
        <v>31</v>
      </c>
      <c r="J146" s="8" t="s">
        <v>531</v>
      </c>
    </row>
    <row r="147" spans="1:10" x14ac:dyDescent="0.2">
      <c r="A147" s="8" t="s">
        <v>35</v>
      </c>
      <c r="B147" s="8" t="s">
        <v>22</v>
      </c>
      <c r="C147" s="8" t="s">
        <v>23</v>
      </c>
      <c r="D147" s="8">
        <v>2</v>
      </c>
      <c r="E147" s="8">
        <v>4</v>
      </c>
      <c r="F147" s="8">
        <v>18</v>
      </c>
      <c r="G147" s="8">
        <v>98</v>
      </c>
      <c r="H147" s="8" t="s">
        <v>292</v>
      </c>
      <c r="I147" s="8" t="s">
        <v>31</v>
      </c>
      <c r="J147" s="8" t="s">
        <v>532</v>
      </c>
    </row>
    <row r="148" spans="1:10" x14ac:dyDescent="0.2">
      <c r="A148" s="8" t="s">
        <v>533</v>
      </c>
      <c r="B148" s="8" t="s">
        <v>22</v>
      </c>
      <c r="C148" s="8" t="s">
        <v>23</v>
      </c>
      <c r="D148" s="8">
        <v>2</v>
      </c>
      <c r="E148" s="8">
        <v>4</v>
      </c>
      <c r="F148" s="8">
        <v>18</v>
      </c>
      <c r="G148" s="8">
        <v>98</v>
      </c>
      <c r="H148" s="8" t="s">
        <v>273</v>
      </c>
      <c r="I148" s="8" t="s">
        <v>31</v>
      </c>
      <c r="J148" s="8" t="s">
        <v>534</v>
      </c>
    </row>
    <row r="149" spans="1:10" x14ac:dyDescent="0.2">
      <c r="A149" s="8" t="s">
        <v>37</v>
      </c>
      <c r="B149" s="8" t="s">
        <v>22</v>
      </c>
      <c r="C149" s="8" t="s">
        <v>23</v>
      </c>
      <c r="D149" s="8">
        <v>2</v>
      </c>
      <c r="E149" s="8">
        <v>5</v>
      </c>
      <c r="F149" s="8">
        <v>24</v>
      </c>
      <c r="G149" s="8">
        <v>98</v>
      </c>
      <c r="H149" s="8" t="s">
        <v>292</v>
      </c>
      <c r="I149" s="8" t="s">
        <v>31</v>
      </c>
      <c r="J149" s="8" t="s">
        <v>535</v>
      </c>
    </row>
    <row r="150" spans="1:10" ht="25.5" x14ac:dyDescent="0.2">
      <c r="A150" s="8" t="s">
        <v>41</v>
      </c>
      <c r="B150" s="8" t="s">
        <v>22</v>
      </c>
      <c r="C150" s="8" t="s">
        <v>23</v>
      </c>
      <c r="D150" s="8">
        <v>2</v>
      </c>
      <c r="E150" s="8">
        <v>5</v>
      </c>
      <c r="F150" s="8">
        <v>24</v>
      </c>
      <c r="G150" s="8">
        <v>98</v>
      </c>
      <c r="H150" s="8" t="s">
        <v>292</v>
      </c>
      <c r="I150" s="8" t="s">
        <v>31</v>
      </c>
      <c r="J150" s="8" t="s">
        <v>536</v>
      </c>
    </row>
    <row r="151" spans="1:10" x14ac:dyDescent="0.2">
      <c r="A151" s="8" t="s">
        <v>44</v>
      </c>
      <c r="B151" s="8" t="s">
        <v>22</v>
      </c>
      <c r="C151" s="8" t="s">
        <v>23</v>
      </c>
      <c r="D151" s="8">
        <v>2</v>
      </c>
      <c r="E151" s="8">
        <v>6</v>
      </c>
      <c r="F151" s="8">
        <v>30</v>
      </c>
      <c r="G151" s="8">
        <v>98</v>
      </c>
      <c r="H151" s="8" t="s">
        <v>292</v>
      </c>
      <c r="I151" s="8" t="s">
        <v>31</v>
      </c>
      <c r="J151" s="8" t="s">
        <v>537</v>
      </c>
    </row>
    <row r="152" spans="1:10" ht="25.5" x14ac:dyDescent="0.2">
      <c r="A152" s="8" t="s">
        <v>46</v>
      </c>
      <c r="B152" s="8" t="s">
        <v>22</v>
      </c>
      <c r="C152" s="8" t="s">
        <v>23</v>
      </c>
      <c r="D152" s="8">
        <v>2</v>
      </c>
      <c r="E152" s="8">
        <v>6</v>
      </c>
      <c r="F152" s="8">
        <v>30</v>
      </c>
      <c r="G152" s="8">
        <v>98</v>
      </c>
      <c r="H152" s="8" t="s">
        <v>292</v>
      </c>
      <c r="I152" s="8" t="s">
        <v>31</v>
      </c>
      <c r="J152" s="8" t="s">
        <v>538</v>
      </c>
    </row>
    <row r="153" spans="1:10" x14ac:dyDescent="0.2">
      <c r="A153" s="8" t="s">
        <v>49</v>
      </c>
      <c r="B153" s="8" t="s">
        <v>22</v>
      </c>
      <c r="C153" s="8" t="s">
        <v>23</v>
      </c>
      <c r="D153" s="8">
        <v>3</v>
      </c>
      <c r="E153" s="8">
        <v>1</v>
      </c>
      <c r="F153" s="8">
        <v>1</v>
      </c>
      <c r="G153" s="8">
        <v>98</v>
      </c>
      <c r="H153" s="8" t="s">
        <v>292</v>
      </c>
      <c r="I153" s="8" t="s">
        <v>31</v>
      </c>
      <c r="J153" s="8" t="s">
        <v>539</v>
      </c>
    </row>
    <row r="154" spans="1:10" x14ac:dyDescent="0.2">
      <c r="A154" s="8" t="s">
        <v>52</v>
      </c>
      <c r="B154" s="8" t="s">
        <v>22</v>
      </c>
      <c r="C154" s="8" t="s">
        <v>23</v>
      </c>
      <c r="D154" s="8">
        <v>3</v>
      </c>
      <c r="E154" s="8">
        <v>1</v>
      </c>
      <c r="F154" s="8">
        <v>1</v>
      </c>
      <c r="G154" s="8">
        <v>98</v>
      </c>
      <c r="H154" s="8" t="s">
        <v>292</v>
      </c>
      <c r="I154" s="8" t="s">
        <v>31</v>
      </c>
      <c r="J154" s="8" t="s">
        <v>540</v>
      </c>
    </row>
    <row r="155" spans="1:10" x14ac:dyDescent="0.2">
      <c r="A155" s="8" t="s">
        <v>54</v>
      </c>
      <c r="B155" s="8" t="s">
        <v>22</v>
      </c>
      <c r="C155" s="8" t="s">
        <v>23</v>
      </c>
      <c r="D155" s="8">
        <v>3</v>
      </c>
      <c r="E155" s="8">
        <v>2</v>
      </c>
      <c r="F155" s="8">
        <v>6</v>
      </c>
      <c r="G155" s="8">
        <v>98</v>
      </c>
      <c r="H155" s="8" t="s">
        <v>292</v>
      </c>
      <c r="I155" s="8" t="s">
        <v>31</v>
      </c>
      <c r="J155" s="8" t="s">
        <v>541</v>
      </c>
    </row>
    <row r="156" spans="1:10" x14ac:dyDescent="0.2">
      <c r="A156" s="8" t="s">
        <v>56</v>
      </c>
      <c r="B156" s="8" t="s">
        <v>22</v>
      </c>
      <c r="C156" s="8" t="s">
        <v>23</v>
      </c>
      <c r="D156" s="8">
        <v>3</v>
      </c>
      <c r="E156" s="8">
        <v>2</v>
      </c>
      <c r="F156" s="8">
        <v>6</v>
      </c>
      <c r="G156" s="8">
        <v>98</v>
      </c>
      <c r="H156" s="8" t="s">
        <v>292</v>
      </c>
      <c r="I156" s="8" t="s">
        <v>31</v>
      </c>
      <c r="J156" s="8" t="s">
        <v>542</v>
      </c>
    </row>
    <row r="157" spans="1:10" x14ac:dyDescent="0.2">
      <c r="A157" s="8" t="s">
        <v>59</v>
      </c>
      <c r="B157" s="8" t="s">
        <v>22</v>
      </c>
      <c r="C157" s="8" t="s">
        <v>23</v>
      </c>
      <c r="D157" s="8">
        <v>3</v>
      </c>
      <c r="E157" s="8">
        <v>3</v>
      </c>
      <c r="F157" s="8">
        <v>12</v>
      </c>
      <c r="G157" s="8">
        <v>98</v>
      </c>
      <c r="H157" s="8" t="s">
        <v>292</v>
      </c>
      <c r="I157" s="8" t="s">
        <v>31</v>
      </c>
      <c r="J157" s="8" t="s">
        <v>543</v>
      </c>
    </row>
    <row r="158" spans="1:10" x14ac:dyDescent="0.2">
      <c r="A158" s="8" t="s">
        <v>544</v>
      </c>
      <c r="B158" s="8" t="s">
        <v>22</v>
      </c>
      <c r="C158" s="8" t="s">
        <v>23</v>
      </c>
      <c r="D158" s="8">
        <v>3</v>
      </c>
      <c r="E158" s="8">
        <v>3</v>
      </c>
      <c r="F158" s="8">
        <v>12</v>
      </c>
      <c r="G158" s="8">
        <v>98</v>
      </c>
      <c r="H158" s="8" t="s">
        <v>273</v>
      </c>
      <c r="I158" s="8" t="s">
        <v>31</v>
      </c>
      <c r="J158" s="8" t="s">
        <v>545</v>
      </c>
    </row>
    <row r="159" spans="1:10" x14ac:dyDescent="0.2">
      <c r="A159" s="8" t="s">
        <v>61</v>
      </c>
      <c r="B159" s="8" t="s">
        <v>22</v>
      </c>
      <c r="C159" s="8" t="s">
        <v>23</v>
      </c>
      <c r="D159" s="8">
        <v>3</v>
      </c>
      <c r="E159" s="8">
        <v>4</v>
      </c>
      <c r="F159" s="8">
        <v>18</v>
      </c>
      <c r="G159" s="8">
        <v>98</v>
      </c>
      <c r="H159" s="8" t="s">
        <v>292</v>
      </c>
      <c r="I159" s="8" t="s">
        <v>31</v>
      </c>
      <c r="J159" s="8" t="s">
        <v>546</v>
      </c>
    </row>
    <row r="160" spans="1:10" x14ac:dyDescent="0.2">
      <c r="A160" s="8" t="s">
        <v>64</v>
      </c>
      <c r="B160" s="8" t="s">
        <v>22</v>
      </c>
      <c r="C160" s="8" t="s">
        <v>23</v>
      </c>
      <c r="D160" s="8">
        <v>3</v>
      </c>
      <c r="E160" s="8">
        <v>5</v>
      </c>
      <c r="F160" s="8">
        <v>24</v>
      </c>
      <c r="G160" s="8">
        <v>98</v>
      </c>
      <c r="H160" s="8" t="s">
        <v>292</v>
      </c>
      <c r="I160" s="8" t="s">
        <v>31</v>
      </c>
      <c r="J160" s="8" t="s">
        <v>547</v>
      </c>
    </row>
    <row r="161" spans="1:10" x14ac:dyDescent="0.2">
      <c r="A161" s="8" t="s">
        <v>548</v>
      </c>
      <c r="B161" s="8" t="s">
        <v>22</v>
      </c>
      <c r="C161" s="8" t="s">
        <v>23</v>
      </c>
      <c r="D161" s="8">
        <v>3</v>
      </c>
      <c r="E161" s="8">
        <v>6</v>
      </c>
      <c r="F161" s="8">
        <v>30</v>
      </c>
      <c r="G161" s="8">
        <v>98</v>
      </c>
      <c r="H161" s="8" t="s">
        <v>273</v>
      </c>
      <c r="I161" s="8" t="s">
        <v>31</v>
      </c>
      <c r="J161" s="8" t="s">
        <v>549</v>
      </c>
    </row>
    <row r="162" spans="1:10" x14ac:dyDescent="0.2">
      <c r="A162" s="8" t="s">
        <v>67</v>
      </c>
      <c r="B162" s="8" t="s">
        <v>22</v>
      </c>
      <c r="C162" s="8" t="s">
        <v>23</v>
      </c>
      <c r="D162" s="8">
        <v>3</v>
      </c>
      <c r="E162" s="8">
        <v>6</v>
      </c>
      <c r="F162" s="8">
        <v>30</v>
      </c>
      <c r="G162" s="8">
        <v>98</v>
      </c>
      <c r="H162" s="8" t="s">
        <v>292</v>
      </c>
      <c r="I162" s="8" t="s">
        <v>31</v>
      </c>
      <c r="J162" s="8" t="s">
        <v>550</v>
      </c>
    </row>
    <row r="163" spans="1:10" x14ac:dyDescent="0.2">
      <c r="A163" s="8" t="s">
        <v>551</v>
      </c>
      <c r="B163" s="8" t="s">
        <v>22</v>
      </c>
      <c r="C163" s="8" t="s">
        <v>70</v>
      </c>
      <c r="D163" s="8">
        <v>4</v>
      </c>
      <c r="E163" s="8">
        <v>1</v>
      </c>
      <c r="F163" s="8">
        <v>1</v>
      </c>
      <c r="G163" s="8">
        <v>1</v>
      </c>
      <c r="H163" s="8" t="s">
        <v>273</v>
      </c>
      <c r="I163" s="8" t="s">
        <v>31</v>
      </c>
      <c r="J163" s="8" t="s">
        <v>552</v>
      </c>
    </row>
    <row r="164" spans="1:10" x14ac:dyDescent="0.2">
      <c r="A164" s="8" t="s">
        <v>553</v>
      </c>
      <c r="B164" s="8" t="s">
        <v>22</v>
      </c>
      <c r="C164" s="8" t="s">
        <v>70</v>
      </c>
      <c r="D164" s="8">
        <v>4</v>
      </c>
      <c r="E164" s="8">
        <v>1</v>
      </c>
      <c r="F164" s="8">
        <v>1</v>
      </c>
      <c r="G164" s="8">
        <v>1</v>
      </c>
      <c r="H164" s="8" t="s">
        <v>273</v>
      </c>
      <c r="I164" s="8" t="s">
        <v>31</v>
      </c>
      <c r="J164" s="8" t="s">
        <v>554</v>
      </c>
    </row>
    <row r="165" spans="1:10" x14ac:dyDescent="0.2">
      <c r="A165" s="8" t="s">
        <v>555</v>
      </c>
      <c r="B165" s="8" t="s">
        <v>22</v>
      </c>
      <c r="C165" s="8" t="s">
        <v>70</v>
      </c>
      <c r="D165" s="8">
        <v>4</v>
      </c>
      <c r="E165" s="8">
        <v>1</v>
      </c>
      <c r="F165" s="8">
        <v>1</v>
      </c>
      <c r="G165" s="8">
        <v>1</v>
      </c>
      <c r="H165" s="8" t="s">
        <v>273</v>
      </c>
      <c r="I165" s="8" t="s">
        <v>31</v>
      </c>
      <c r="J165" s="8" t="s">
        <v>556</v>
      </c>
    </row>
    <row r="166" spans="1:10" x14ac:dyDescent="0.2">
      <c r="A166" s="8" t="s">
        <v>557</v>
      </c>
      <c r="B166" s="8" t="s">
        <v>22</v>
      </c>
      <c r="C166" s="8" t="s">
        <v>70</v>
      </c>
      <c r="D166" s="8">
        <v>4</v>
      </c>
      <c r="E166" s="8">
        <v>2</v>
      </c>
      <c r="F166" s="8">
        <v>6</v>
      </c>
      <c r="G166" s="8">
        <v>1</v>
      </c>
      <c r="H166" s="8" t="s">
        <v>273</v>
      </c>
      <c r="I166" s="8" t="s">
        <v>31</v>
      </c>
      <c r="J166" s="8" t="s">
        <v>558</v>
      </c>
    </row>
    <row r="167" spans="1:10" x14ac:dyDescent="0.2">
      <c r="A167" s="8" t="s">
        <v>559</v>
      </c>
      <c r="B167" s="8" t="s">
        <v>22</v>
      </c>
      <c r="C167" s="8" t="s">
        <v>70</v>
      </c>
      <c r="D167" s="8">
        <v>4</v>
      </c>
      <c r="E167" s="8">
        <v>2</v>
      </c>
      <c r="F167" s="8">
        <v>6</v>
      </c>
      <c r="G167" s="8">
        <v>1</v>
      </c>
      <c r="H167" s="8" t="s">
        <v>273</v>
      </c>
      <c r="I167" s="8" t="s">
        <v>31</v>
      </c>
      <c r="J167" s="8" t="s">
        <v>560</v>
      </c>
    </row>
    <row r="168" spans="1:10" x14ac:dyDescent="0.2">
      <c r="A168" s="8" t="s">
        <v>44</v>
      </c>
      <c r="B168" s="8" t="s">
        <v>22</v>
      </c>
      <c r="C168" s="8" t="s">
        <v>70</v>
      </c>
      <c r="D168" s="8">
        <v>4</v>
      </c>
      <c r="E168" s="8">
        <v>2</v>
      </c>
      <c r="F168" s="8">
        <v>6</v>
      </c>
      <c r="G168" s="8">
        <v>1</v>
      </c>
      <c r="H168" s="8" t="s">
        <v>273</v>
      </c>
      <c r="I168" s="8" t="s">
        <v>31</v>
      </c>
      <c r="J168" s="8" t="s">
        <v>561</v>
      </c>
    </row>
    <row r="169" spans="1:10" x14ac:dyDescent="0.2">
      <c r="A169" s="8" t="s">
        <v>562</v>
      </c>
      <c r="B169" s="8" t="s">
        <v>22</v>
      </c>
      <c r="C169" s="8" t="s">
        <v>70</v>
      </c>
      <c r="D169" s="8">
        <v>4</v>
      </c>
      <c r="E169" s="8">
        <v>3</v>
      </c>
      <c r="F169" s="8">
        <v>12</v>
      </c>
      <c r="G169" s="8">
        <v>1</v>
      </c>
      <c r="H169" s="8" t="s">
        <v>273</v>
      </c>
      <c r="I169" s="8" t="s">
        <v>31</v>
      </c>
      <c r="J169" s="8" t="s">
        <v>563</v>
      </c>
    </row>
    <row r="170" spans="1:10" x14ac:dyDescent="0.2">
      <c r="A170" s="8" t="s">
        <v>564</v>
      </c>
      <c r="B170" s="8" t="s">
        <v>22</v>
      </c>
      <c r="C170" s="8" t="s">
        <v>70</v>
      </c>
      <c r="D170" s="8">
        <v>4</v>
      </c>
      <c r="E170" s="8">
        <v>3</v>
      </c>
      <c r="F170" s="8">
        <v>12</v>
      </c>
      <c r="G170" s="8">
        <v>1</v>
      </c>
      <c r="H170" s="8" t="s">
        <v>273</v>
      </c>
      <c r="I170" s="8" t="s">
        <v>31</v>
      </c>
      <c r="J170" s="8" t="s">
        <v>565</v>
      </c>
    </row>
    <row r="171" spans="1:10" x14ac:dyDescent="0.2">
      <c r="A171" s="8" t="s">
        <v>566</v>
      </c>
      <c r="B171" s="8" t="s">
        <v>22</v>
      </c>
      <c r="C171" s="8" t="s">
        <v>70</v>
      </c>
      <c r="D171" s="8">
        <v>4</v>
      </c>
      <c r="E171" s="8">
        <v>3</v>
      </c>
      <c r="F171" s="8">
        <v>12</v>
      </c>
      <c r="G171" s="8">
        <v>1</v>
      </c>
      <c r="H171" s="8" t="s">
        <v>273</v>
      </c>
      <c r="I171" s="8" t="s">
        <v>31</v>
      </c>
      <c r="J171" s="8" t="s">
        <v>567</v>
      </c>
    </row>
    <row r="172" spans="1:10" x14ac:dyDescent="0.2">
      <c r="A172" s="8" t="s">
        <v>568</v>
      </c>
      <c r="B172" s="8" t="s">
        <v>22</v>
      </c>
      <c r="C172" s="8" t="s">
        <v>70</v>
      </c>
      <c r="D172" s="8">
        <v>4</v>
      </c>
      <c r="E172" s="8">
        <v>4</v>
      </c>
      <c r="F172" s="8">
        <v>18</v>
      </c>
      <c r="G172" s="8">
        <v>1</v>
      </c>
      <c r="H172" s="8" t="s">
        <v>273</v>
      </c>
      <c r="I172" s="8" t="s">
        <v>31</v>
      </c>
      <c r="J172" s="8" t="s">
        <v>569</v>
      </c>
    </row>
    <row r="173" spans="1:10" x14ac:dyDescent="0.2">
      <c r="A173" s="8" t="s">
        <v>570</v>
      </c>
      <c r="B173" s="8" t="s">
        <v>22</v>
      </c>
      <c r="C173" s="8" t="s">
        <v>70</v>
      </c>
      <c r="D173" s="8">
        <v>4</v>
      </c>
      <c r="E173" s="8">
        <v>4</v>
      </c>
      <c r="F173" s="8">
        <v>18</v>
      </c>
      <c r="G173" s="8">
        <v>1</v>
      </c>
      <c r="H173" s="8" t="s">
        <v>273</v>
      </c>
      <c r="I173" s="8" t="s">
        <v>31</v>
      </c>
      <c r="J173" s="8" t="s">
        <v>571</v>
      </c>
    </row>
    <row r="174" spans="1:10" x14ac:dyDescent="0.2">
      <c r="A174" s="8" t="s">
        <v>572</v>
      </c>
      <c r="B174" s="8" t="s">
        <v>22</v>
      </c>
      <c r="C174" s="8" t="s">
        <v>70</v>
      </c>
      <c r="D174" s="8">
        <v>4</v>
      </c>
      <c r="E174" s="8">
        <v>4</v>
      </c>
      <c r="F174" s="8">
        <v>18</v>
      </c>
      <c r="G174" s="8">
        <v>1</v>
      </c>
      <c r="H174" s="8" t="s">
        <v>273</v>
      </c>
      <c r="I174" s="8" t="s">
        <v>31</v>
      </c>
      <c r="J174" s="8" t="s">
        <v>573</v>
      </c>
    </row>
    <row r="175" spans="1:10" x14ac:dyDescent="0.2">
      <c r="A175" s="8" t="s">
        <v>574</v>
      </c>
      <c r="B175" s="8" t="s">
        <v>22</v>
      </c>
      <c r="C175" s="8" t="s">
        <v>70</v>
      </c>
      <c r="D175" s="8">
        <v>4</v>
      </c>
      <c r="E175" s="8">
        <v>5</v>
      </c>
      <c r="F175" s="8">
        <v>24</v>
      </c>
      <c r="G175" s="8">
        <v>1</v>
      </c>
      <c r="H175" s="8" t="s">
        <v>273</v>
      </c>
      <c r="I175" s="8" t="s">
        <v>31</v>
      </c>
      <c r="J175" s="8" t="s">
        <v>575</v>
      </c>
    </row>
    <row r="176" spans="1:10" x14ac:dyDescent="0.2">
      <c r="A176" s="8" t="s">
        <v>576</v>
      </c>
      <c r="B176" s="8" t="s">
        <v>22</v>
      </c>
      <c r="C176" s="8" t="s">
        <v>70</v>
      </c>
      <c r="D176" s="8">
        <v>4</v>
      </c>
      <c r="E176" s="8">
        <v>5</v>
      </c>
      <c r="F176" s="8">
        <v>24</v>
      </c>
      <c r="G176" s="8">
        <v>1</v>
      </c>
      <c r="H176" s="8" t="s">
        <v>273</v>
      </c>
      <c r="I176" s="8" t="s">
        <v>31</v>
      </c>
      <c r="J176" s="8" t="s">
        <v>577</v>
      </c>
    </row>
    <row r="177" spans="1:10" x14ac:dyDescent="0.2">
      <c r="A177" s="8" t="s">
        <v>578</v>
      </c>
      <c r="B177" s="8" t="s">
        <v>22</v>
      </c>
      <c r="C177" s="8" t="s">
        <v>70</v>
      </c>
      <c r="D177" s="8">
        <v>4</v>
      </c>
      <c r="E177" s="8">
        <v>5</v>
      </c>
      <c r="F177" s="8">
        <v>24</v>
      </c>
      <c r="G177" s="8">
        <v>1</v>
      </c>
      <c r="H177" s="8" t="s">
        <v>273</v>
      </c>
      <c r="I177" s="8" t="s">
        <v>31</v>
      </c>
      <c r="J177" s="8" t="s">
        <v>579</v>
      </c>
    </row>
    <row r="178" spans="1:10" x14ac:dyDescent="0.2">
      <c r="A178" s="8" t="s">
        <v>580</v>
      </c>
      <c r="B178" s="8" t="s">
        <v>22</v>
      </c>
      <c r="C178" s="8" t="s">
        <v>70</v>
      </c>
      <c r="D178" s="8">
        <v>4</v>
      </c>
      <c r="E178" s="8">
        <v>6</v>
      </c>
      <c r="F178" s="8">
        <v>30</v>
      </c>
      <c r="G178" s="8">
        <v>1</v>
      </c>
      <c r="H178" s="8" t="s">
        <v>273</v>
      </c>
      <c r="I178" s="8" t="s">
        <v>31</v>
      </c>
      <c r="J178" s="8" t="s">
        <v>581</v>
      </c>
    </row>
    <row r="179" spans="1:10" x14ac:dyDescent="0.2">
      <c r="A179" s="8" t="s">
        <v>582</v>
      </c>
      <c r="B179" s="8" t="s">
        <v>22</v>
      </c>
      <c r="C179" s="8" t="s">
        <v>70</v>
      </c>
      <c r="D179" s="8">
        <v>4</v>
      </c>
      <c r="E179" s="8">
        <v>6</v>
      </c>
      <c r="F179" s="8">
        <v>30</v>
      </c>
      <c r="G179" s="8">
        <v>1</v>
      </c>
      <c r="H179" s="8" t="s">
        <v>273</v>
      </c>
      <c r="I179" s="8" t="s">
        <v>31</v>
      </c>
      <c r="J179" s="8" t="s">
        <v>583</v>
      </c>
    </row>
    <row r="180" spans="1:10" x14ac:dyDescent="0.2">
      <c r="A180" s="8" t="s">
        <v>584</v>
      </c>
      <c r="B180" s="8" t="s">
        <v>22</v>
      </c>
      <c r="C180" s="8" t="s">
        <v>70</v>
      </c>
      <c r="D180" s="8">
        <v>4</v>
      </c>
      <c r="E180" s="8">
        <v>6</v>
      </c>
      <c r="F180" s="8">
        <v>30</v>
      </c>
      <c r="G180" s="8">
        <v>1</v>
      </c>
      <c r="H180" s="8" t="s">
        <v>273</v>
      </c>
      <c r="I180" s="8" t="s">
        <v>31</v>
      </c>
      <c r="J180" s="8" t="s">
        <v>585</v>
      </c>
    </row>
    <row r="181" spans="1:10" x14ac:dyDescent="0.2">
      <c r="A181" s="8" t="s">
        <v>586</v>
      </c>
      <c r="B181" s="8" t="s">
        <v>87</v>
      </c>
      <c r="C181" s="8" t="s">
        <v>272</v>
      </c>
      <c r="D181" s="8">
        <v>1</v>
      </c>
      <c r="E181" s="8">
        <v>1</v>
      </c>
      <c r="F181" s="8">
        <v>1</v>
      </c>
      <c r="G181" s="8">
        <v>98</v>
      </c>
      <c r="H181" s="8" t="s">
        <v>273</v>
      </c>
      <c r="I181" s="8" t="s">
        <v>31</v>
      </c>
      <c r="J181" s="8" t="s">
        <v>587</v>
      </c>
    </row>
    <row r="182" spans="1:10" x14ac:dyDescent="0.2">
      <c r="A182" s="8" t="s">
        <v>588</v>
      </c>
      <c r="B182" s="8" t="s">
        <v>87</v>
      </c>
      <c r="C182" s="8" t="s">
        <v>272</v>
      </c>
      <c r="D182" s="8">
        <v>1</v>
      </c>
      <c r="E182" s="8">
        <v>1</v>
      </c>
      <c r="F182" s="8">
        <v>1</v>
      </c>
      <c r="G182" s="8">
        <v>98</v>
      </c>
      <c r="H182" s="8" t="s">
        <v>273</v>
      </c>
      <c r="I182" s="8" t="s">
        <v>31</v>
      </c>
      <c r="J182" s="8" t="s">
        <v>589</v>
      </c>
    </row>
    <row r="183" spans="1:10" x14ac:dyDescent="0.2">
      <c r="A183" s="8" t="s">
        <v>590</v>
      </c>
      <c r="B183" s="8" t="s">
        <v>87</v>
      </c>
      <c r="C183" s="8" t="s">
        <v>272</v>
      </c>
      <c r="D183" s="8">
        <v>1</v>
      </c>
      <c r="E183" s="8">
        <v>2</v>
      </c>
      <c r="F183" s="8">
        <v>6</v>
      </c>
      <c r="G183" s="8">
        <v>98</v>
      </c>
      <c r="H183" s="8" t="s">
        <v>273</v>
      </c>
      <c r="I183" s="8" t="s">
        <v>31</v>
      </c>
      <c r="J183" s="8" t="s">
        <v>591</v>
      </c>
    </row>
    <row r="184" spans="1:10" x14ac:dyDescent="0.2">
      <c r="A184" s="8" t="s">
        <v>592</v>
      </c>
      <c r="B184" s="8" t="s">
        <v>87</v>
      </c>
      <c r="C184" s="8" t="s">
        <v>272</v>
      </c>
      <c r="D184" s="8">
        <v>1</v>
      </c>
      <c r="E184" s="8">
        <v>2</v>
      </c>
      <c r="F184" s="8">
        <v>6</v>
      </c>
      <c r="G184" s="8">
        <v>98</v>
      </c>
      <c r="H184" s="8" t="s">
        <v>273</v>
      </c>
      <c r="I184" s="8" t="s">
        <v>31</v>
      </c>
      <c r="J184" s="8" t="s">
        <v>593</v>
      </c>
    </row>
    <row r="185" spans="1:10" x14ac:dyDescent="0.2">
      <c r="A185" s="8" t="s">
        <v>594</v>
      </c>
      <c r="B185" s="8" t="s">
        <v>87</v>
      </c>
      <c r="C185" s="8" t="s">
        <v>272</v>
      </c>
      <c r="D185" s="8">
        <v>1</v>
      </c>
      <c r="E185" s="8">
        <v>3</v>
      </c>
      <c r="F185" s="8">
        <v>12</v>
      </c>
      <c r="G185" s="8">
        <v>98</v>
      </c>
      <c r="H185" s="8" t="s">
        <v>273</v>
      </c>
      <c r="I185" s="8" t="s">
        <v>31</v>
      </c>
      <c r="J185" s="8" t="s">
        <v>595</v>
      </c>
    </row>
    <row r="186" spans="1:10" x14ac:dyDescent="0.2">
      <c r="A186" s="8" t="s">
        <v>596</v>
      </c>
      <c r="B186" s="8" t="s">
        <v>87</v>
      </c>
      <c r="C186" s="8" t="s">
        <v>272</v>
      </c>
      <c r="D186" s="8">
        <v>1</v>
      </c>
      <c r="E186" s="8">
        <v>3</v>
      </c>
      <c r="F186" s="8">
        <v>12</v>
      </c>
      <c r="G186" s="8">
        <v>98</v>
      </c>
      <c r="H186" s="8" t="s">
        <v>273</v>
      </c>
      <c r="I186" s="8" t="s">
        <v>31</v>
      </c>
      <c r="J186" s="8" t="s">
        <v>597</v>
      </c>
    </row>
    <row r="187" spans="1:10" x14ac:dyDescent="0.2">
      <c r="A187" s="8" t="s">
        <v>598</v>
      </c>
      <c r="B187" s="8" t="s">
        <v>87</v>
      </c>
      <c r="C187" s="8" t="s">
        <v>272</v>
      </c>
      <c r="D187" s="8">
        <v>1</v>
      </c>
      <c r="E187" s="8">
        <v>4</v>
      </c>
      <c r="F187" s="8">
        <v>18</v>
      </c>
      <c r="G187" s="8">
        <v>98</v>
      </c>
      <c r="H187" s="8" t="s">
        <v>273</v>
      </c>
      <c r="I187" s="8" t="s">
        <v>31</v>
      </c>
      <c r="J187" s="8" t="s">
        <v>599</v>
      </c>
    </row>
    <row r="188" spans="1:10" x14ac:dyDescent="0.2">
      <c r="A188" s="8" t="s">
        <v>600</v>
      </c>
      <c r="B188" s="8" t="s">
        <v>87</v>
      </c>
      <c r="C188" s="8" t="s">
        <v>272</v>
      </c>
      <c r="D188" s="8">
        <v>1</v>
      </c>
      <c r="E188" s="8">
        <v>5</v>
      </c>
      <c r="F188" s="8">
        <v>24</v>
      </c>
      <c r="G188" s="8">
        <v>98</v>
      </c>
      <c r="H188" s="8" t="s">
        <v>273</v>
      </c>
      <c r="I188" s="8" t="s">
        <v>31</v>
      </c>
      <c r="J188" s="8" t="s">
        <v>601</v>
      </c>
    </row>
    <row r="189" spans="1:10" x14ac:dyDescent="0.2">
      <c r="A189" s="8" t="s">
        <v>602</v>
      </c>
      <c r="B189" s="8" t="s">
        <v>87</v>
      </c>
      <c r="C189" s="8" t="s">
        <v>272</v>
      </c>
      <c r="D189" s="8">
        <v>1</v>
      </c>
      <c r="E189" s="8">
        <v>5</v>
      </c>
      <c r="F189" s="8">
        <v>24</v>
      </c>
      <c r="G189" s="8">
        <v>98</v>
      </c>
      <c r="H189" s="8" t="s">
        <v>273</v>
      </c>
      <c r="I189" s="8" t="s">
        <v>31</v>
      </c>
      <c r="J189" s="8" t="s">
        <v>603</v>
      </c>
    </row>
    <row r="190" spans="1:10" x14ac:dyDescent="0.2">
      <c r="A190" s="8" t="s">
        <v>604</v>
      </c>
      <c r="B190" s="8" t="s">
        <v>87</v>
      </c>
      <c r="C190" s="8" t="s">
        <v>272</v>
      </c>
      <c r="D190" s="8">
        <v>1</v>
      </c>
      <c r="E190" s="8">
        <v>6</v>
      </c>
      <c r="F190" s="8">
        <v>30</v>
      </c>
      <c r="G190" s="8">
        <v>98</v>
      </c>
      <c r="H190" s="8" t="s">
        <v>273</v>
      </c>
      <c r="I190" s="8" t="s">
        <v>31</v>
      </c>
      <c r="J190" s="8" t="s">
        <v>605</v>
      </c>
    </row>
    <row r="191" spans="1:10" x14ac:dyDescent="0.2">
      <c r="A191" s="8" t="s">
        <v>460</v>
      </c>
      <c r="B191" s="8" t="s">
        <v>87</v>
      </c>
      <c r="C191" s="8" t="s">
        <v>272</v>
      </c>
      <c r="D191" s="8">
        <v>2</v>
      </c>
      <c r="E191" s="8">
        <v>1</v>
      </c>
      <c r="F191" s="8">
        <v>1</v>
      </c>
      <c r="G191" s="8">
        <v>98</v>
      </c>
      <c r="H191" s="8" t="s">
        <v>273</v>
      </c>
      <c r="I191" s="8" t="s">
        <v>31</v>
      </c>
      <c r="J191" s="8" t="s">
        <v>606</v>
      </c>
    </row>
    <row r="192" spans="1:10" x14ac:dyDescent="0.2">
      <c r="A192" s="8" t="s">
        <v>86</v>
      </c>
      <c r="B192" s="8" t="s">
        <v>87</v>
      </c>
      <c r="C192" s="8" t="s">
        <v>70</v>
      </c>
      <c r="D192" s="8">
        <v>2</v>
      </c>
      <c r="E192" s="8">
        <v>1</v>
      </c>
      <c r="F192" s="8">
        <v>1</v>
      </c>
      <c r="G192" s="8">
        <v>98</v>
      </c>
      <c r="H192" s="8" t="s">
        <v>292</v>
      </c>
      <c r="I192" s="8" t="s">
        <v>31</v>
      </c>
      <c r="J192" s="8" t="s">
        <v>607</v>
      </c>
    </row>
    <row r="193" spans="1:10" x14ac:dyDescent="0.2">
      <c r="A193" s="8" t="s">
        <v>608</v>
      </c>
      <c r="B193" s="8" t="s">
        <v>87</v>
      </c>
      <c r="C193" s="8" t="s">
        <v>70</v>
      </c>
      <c r="D193" s="8">
        <v>2</v>
      </c>
      <c r="E193" s="8">
        <v>2</v>
      </c>
      <c r="F193" s="8">
        <v>6</v>
      </c>
      <c r="G193" s="8">
        <v>98</v>
      </c>
      <c r="H193" s="8" t="s">
        <v>273</v>
      </c>
      <c r="I193" s="8" t="s">
        <v>31</v>
      </c>
      <c r="J193" s="8" t="s">
        <v>609</v>
      </c>
    </row>
    <row r="194" spans="1:10" x14ac:dyDescent="0.2">
      <c r="A194" s="8" t="s">
        <v>610</v>
      </c>
      <c r="B194" s="8" t="s">
        <v>87</v>
      </c>
      <c r="C194" s="8" t="s">
        <v>272</v>
      </c>
      <c r="D194" s="8">
        <v>2</v>
      </c>
      <c r="E194" s="8">
        <v>3</v>
      </c>
      <c r="F194" s="8">
        <v>12</v>
      </c>
      <c r="G194" s="8">
        <v>98</v>
      </c>
      <c r="H194" s="8" t="s">
        <v>273</v>
      </c>
      <c r="I194" s="8" t="s">
        <v>31</v>
      </c>
      <c r="J194" s="8" t="s">
        <v>611</v>
      </c>
    </row>
    <row r="195" spans="1:10" x14ac:dyDescent="0.2">
      <c r="A195" s="8" t="s">
        <v>612</v>
      </c>
      <c r="B195" s="8" t="s">
        <v>87</v>
      </c>
      <c r="C195" s="8" t="s">
        <v>70</v>
      </c>
      <c r="D195" s="8">
        <v>2</v>
      </c>
      <c r="E195" s="8">
        <v>3</v>
      </c>
      <c r="F195" s="8">
        <v>12</v>
      </c>
      <c r="G195" s="8">
        <v>98</v>
      </c>
      <c r="H195" s="8" t="s">
        <v>273</v>
      </c>
      <c r="I195" s="8" t="s">
        <v>31</v>
      </c>
      <c r="J195" s="8" t="s">
        <v>613</v>
      </c>
    </row>
    <row r="196" spans="1:10" x14ac:dyDescent="0.2">
      <c r="A196" s="8" t="s">
        <v>89</v>
      </c>
      <c r="B196" s="8" t="s">
        <v>87</v>
      </c>
      <c r="C196" s="8" t="s">
        <v>70</v>
      </c>
      <c r="D196" s="8">
        <v>2</v>
      </c>
      <c r="E196" s="8">
        <v>4</v>
      </c>
      <c r="F196" s="8">
        <v>18</v>
      </c>
      <c r="G196" s="8">
        <v>98</v>
      </c>
      <c r="H196" s="8" t="s">
        <v>292</v>
      </c>
      <c r="I196" s="8" t="s">
        <v>31</v>
      </c>
      <c r="J196" s="8" t="s">
        <v>614</v>
      </c>
    </row>
    <row r="197" spans="1:10" x14ac:dyDescent="0.2">
      <c r="A197" s="8" t="s">
        <v>615</v>
      </c>
      <c r="B197" s="8" t="s">
        <v>87</v>
      </c>
      <c r="C197" s="8" t="s">
        <v>272</v>
      </c>
      <c r="D197" s="8">
        <v>2</v>
      </c>
      <c r="E197" s="8">
        <v>4</v>
      </c>
      <c r="F197" s="8">
        <v>18</v>
      </c>
      <c r="G197" s="8">
        <v>98</v>
      </c>
      <c r="H197" s="8" t="s">
        <v>273</v>
      </c>
      <c r="I197" s="8" t="s">
        <v>31</v>
      </c>
      <c r="J197" s="8" t="s">
        <v>616</v>
      </c>
    </row>
    <row r="198" spans="1:10" x14ac:dyDescent="0.2">
      <c r="A198" s="8" t="s">
        <v>617</v>
      </c>
      <c r="B198" s="8" t="s">
        <v>87</v>
      </c>
      <c r="C198" s="8" t="s">
        <v>70</v>
      </c>
      <c r="D198" s="8">
        <v>2</v>
      </c>
      <c r="E198" s="8">
        <v>5</v>
      </c>
      <c r="F198" s="8">
        <v>24</v>
      </c>
      <c r="G198" s="8">
        <v>98</v>
      </c>
      <c r="H198" s="8" t="s">
        <v>273</v>
      </c>
      <c r="I198" s="8" t="s">
        <v>31</v>
      </c>
      <c r="J198" s="8" t="s">
        <v>618</v>
      </c>
    </row>
    <row r="199" spans="1:10" x14ac:dyDescent="0.2">
      <c r="A199" s="8" t="s">
        <v>619</v>
      </c>
      <c r="B199" s="8" t="s">
        <v>87</v>
      </c>
      <c r="C199" s="8" t="s">
        <v>272</v>
      </c>
      <c r="D199" s="8">
        <v>2</v>
      </c>
      <c r="E199" s="8">
        <v>6</v>
      </c>
      <c r="F199" s="8">
        <v>30</v>
      </c>
      <c r="G199" s="8">
        <v>98</v>
      </c>
      <c r="H199" s="8" t="s">
        <v>292</v>
      </c>
      <c r="I199" s="8" t="s">
        <v>174</v>
      </c>
      <c r="J199" s="8" t="s">
        <v>620</v>
      </c>
    </row>
    <row r="200" spans="1:10" x14ac:dyDescent="0.2">
      <c r="A200" s="8" t="s">
        <v>621</v>
      </c>
      <c r="B200" s="8" t="s">
        <v>87</v>
      </c>
      <c r="C200" s="8" t="s">
        <v>70</v>
      </c>
      <c r="D200" s="8">
        <v>2</v>
      </c>
      <c r="E200" s="8">
        <v>6</v>
      </c>
      <c r="F200" s="8">
        <v>30</v>
      </c>
      <c r="G200" s="8">
        <v>98</v>
      </c>
      <c r="H200" s="8" t="s">
        <v>273</v>
      </c>
      <c r="I200" s="8" t="s">
        <v>31</v>
      </c>
      <c r="J200" s="8" t="s">
        <v>622</v>
      </c>
    </row>
    <row r="201" spans="1:10" x14ac:dyDescent="0.2">
      <c r="A201" s="8" t="s">
        <v>623</v>
      </c>
      <c r="B201" s="8" t="s">
        <v>87</v>
      </c>
      <c r="C201" s="8" t="s">
        <v>272</v>
      </c>
      <c r="D201" s="8">
        <v>3</v>
      </c>
      <c r="E201" s="8">
        <v>1</v>
      </c>
      <c r="F201" s="8">
        <v>1</v>
      </c>
      <c r="G201" s="8">
        <v>98</v>
      </c>
      <c r="H201" s="8" t="s">
        <v>273</v>
      </c>
      <c r="I201" s="8" t="s">
        <v>31</v>
      </c>
      <c r="J201" s="8" t="s">
        <v>624</v>
      </c>
    </row>
    <row r="202" spans="1:10" x14ac:dyDescent="0.2">
      <c r="A202" s="8" t="s">
        <v>625</v>
      </c>
      <c r="B202" s="8" t="s">
        <v>87</v>
      </c>
      <c r="C202" s="8" t="s">
        <v>272</v>
      </c>
      <c r="D202" s="8">
        <v>3</v>
      </c>
      <c r="E202" s="8">
        <v>2</v>
      </c>
      <c r="F202" s="8">
        <v>6</v>
      </c>
      <c r="G202" s="8">
        <v>98</v>
      </c>
      <c r="H202" s="8" t="s">
        <v>273</v>
      </c>
      <c r="I202" s="8" t="s">
        <v>31</v>
      </c>
      <c r="J202" s="8" t="s">
        <v>626</v>
      </c>
    </row>
    <row r="203" spans="1:10" x14ac:dyDescent="0.2">
      <c r="A203" s="8" t="s">
        <v>627</v>
      </c>
      <c r="B203" s="8" t="s">
        <v>87</v>
      </c>
      <c r="C203" s="8" t="s">
        <v>272</v>
      </c>
      <c r="D203" s="8">
        <v>3</v>
      </c>
      <c r="E203" s="8">
        <v>2</v>
      </c>
      <c r="F203" s="8">
        <v>6</v>
      </c>
      <c r="G203" s="8">
        <v>98</v>
      </c>
      <c r="H203" s="8" t="s">
        <v>273</v>
      </c>
      <c r="I203" s="8" t="s">
        <v>31</v>
      </c>
      <c r="J203" s="8" t="s">
        <v>628</v>
      </c>
    </row>
    <row r="204" spans="1:10" x14ac:dyDescent="0.2">
      <c r="A204" s="8" t="s">
        <v>629</v>
      </c>
      <c r="B204" s="8" t="s">
        <v>87</v>
      </c>
      <c r="C204" s="8" t="s">
        <v>272</v>
      </c>
      <c r="D204" s="8">
        <v>3</v>
      </c>
      <c r="E204" s="8">
        <v>3</v>
      </c>
      <c r="F204" s="8">
        <v>12</v>
      </c>
      <c r="G204" s="8">
        <v>98</v>
      </c>
      <c r="H204" s="8" t="s">
        <v>273</v>
      </c>
      <c r="I204" s="8" t="s">
        <v>31</v>
      </c>
      <c r="J204" s="8" t="s">
        <v>630</v>
      </c>
    </row>
    <row r="205" spans="1:10" x14ac:dyDescent="0.2">
      <c r="A205" s="8" t="s">
        <v>631</v>
      </c>
      <c r="B205" s="8" t="s">
        <v>87</v>
      </c>
      <c r="C205" s="8" t="s">
        <v>272</v>
      </c>
      <c r="D205" s="8">
        <v>3</v>
      </c>
      <c r="E205" s="8">
        <v>3</v>
      </c>
      <c r="F205" s="8">
        <v>12</v>
      </c>
      <c r="G205" s="8">
        <v>98</v>
      </c>
      <c r="H205" s="8" t="s">
        <v>273</v>
      </c>
      <c r="I205" s="8" t="s">
        <v>31</v>
      </c>
      <c r="J205" s="8" t="s">
        <v>632</v>
      </c>
    </row>
    <row r="206" spans="1:10" x14ac:dyDescent="0.2">
      <c r="A206" s="8" t="s">
        <v>633</v>
      </c>
      <c r="B206" s="8" t="s">
        <v>87</v>
      </c>
      <c r="C206" s="8" t="s">
        <v>272</v>
      </c>
      <c r="D206" s="8">
        <v>3</v>
      </c>
      <c r="E206" s="8">
        <v>4</v>
      </c>
      <c r="F206" s="8">
        <v>18</v>
      </c>
      <c r="G206" s="8">
        <v>98</v>
      </c>
      <c r="H206" s="8" t="s">
        <v>273</v>
      </c>
      <c r="I206" s="8" t="s">
        <v>31</v>
      </c>
      <c r="J206" s="8" t="s">
        <v>634</v>
      </c>
    </row>
    <row r="207" spans="1:10" x14ac:dyDescent="0.2">
      <c r="A207" s="8" t="s">
        <v>635</v>
      </c>
      <c r="B207" s="8" t="s">
        <v>87</v>
      </c>
      <c r="C207" s="8" t="s">
        <v>272</v>
      </c>
      <c r="D207" s="8">
        <v>3</v>
      </c>
      <c r="E207" s="8">
        <v>4</v>
      </c>
      <c r="F207" s="8">
        <v>18</v>
      </c>
      <c r="G207" s="8">
        <v>98</v>
      </c>
      <c r="H207" s="8" t="s">
        <v>273</v>
      </c>
      <c r="I207" s="8" t="s">
        <v>31</v>
      </c>
      <c r="J207" s="8" t="s">
        <v>636</v>
      </c>
    </row>
    <row r="208" spans="1:10" x14ac:dyDescent="0.2">
      <c r="A208" s="8" t="s">
        <v>637</v>
      </c>
      <c r="B208" s="8" t="s">
        <v>87</v>
      </c>
      <c r="C208" s="8" t="s">
        <v>272</v>
      </c>
      <c r="D208" s="8">
        <v>3</v>
      </c>
      <c r="E208" s="8">
        <v>5</v>
      </c>
      <c r="F208" s="8">
        <v>24</v>
      </c>
      <c r="G208" s="8">
        <v>98</v>
      </c>
      <c r="H208" s="8" t="s">
        <v>273</v>
      </c>
      <c r="I208" s="8" t="s">
        <v>31</v>
      </c>
      <c r="J208" s="8" t="s">
        <v>638</v>
      </c>
    </row>
    <row r="209" spans="1:10" x14ac:dyDescent="0.2">
      <c r="A209" s="8" t="s">
        <v>639</v>
      </c>
      <c r="B209" s="8" t="s">
        <v>87</v>
      </c>
      <c r="C209" s="8" t="s">
        <v>272</v>
      </c>
      <c r="D209" s="8">
        <v>3</v>
      </c>
      <c r="E209" s="8">
        <v>6</v>
      </c>
      <c r="F209" s="8">
        <v>30</v>
      </c>
      <c r="G209" s="8">
        <v>98</v>
      </c>
      <c r="H209" s="8" t="s">
        <v>273</v>
      </c>
      <c r="I209" s="8" t="s">
        <v>31</v>
      </c>
      <c r="J209" s="8" t="s">
        <v>640</v>
      </c>
    </row>
    <row r="210" spans="1:10" x14ac:dyDescent="0.2">
      <c r="A210" s="8" t="s">
        <v>641</v>
      </c>
      <c r="B210" s="8" t="s">
        <v>87</v>
      </c>
      <c r="C210" s="8" t="s">
        <v>272</v>
      </c>
      <c r="D210" s="8">
        <v>3</v>
      </c>
      <c r="E210" s="8">
        <v>6</v>
      </c>
      <c r="F210" s="8">
        <v>30</v>
      </c>
      <c r="G210" s="8">
        <v>98</v>
      </c>
      <c r="H210" s="8" t="s">
        <v>273</v>
      </c>
      <c r="I210" s="8" t="s">
        <v>31</v>
      </c>
      <c r="J210" s="8" t="s">
        <v>642</v>
      </c>
    </row>
    <row r="211" spans="1:10" x14ac:dyDescent="0.2">
      <c r="A211" s="8" t="s">
        <v>643</v>
      </c>
      <c r="B211" s="8" t="s">
        <v>87</v>
      </c>
      <c r="C211" s="8" t="s">
        <v>70</v>
      </c>
      <c r="D211" s="8">
        <v>4</v>
      </c>
      <c r="E211" s="8">
        <v>1</v>
      </c>
      <c r="F211" s="8">
        <v>1</v>
      </c>
      <c r="G211" s="8">
        <v>1</v>
      </c>
      <c r="H211" s="8" t="s">
        <v>273</v>
      </c>
      <c r="I211" s="8" t="s">
        <v>31</v>
      </c>
      <c r="J211" s="8" t="s">
        <v>644</v>
      </c>
    </row>
    <row r="212" spans="1:10" x14ac:dyDescent="0.2">
      <c r="A212" s="8" t="s">
        <v>645</v>
      </c>
      <c r="B212" s="8" t="s">
        <v>87</v>
      </c>
      <c r="C212" s="8" t="s">
        <v>70</v>
      </c>
      <c r="D212" s="8">
        <v>4</v>
      </c>
      <c r="E212" s="8">
        <v>1</v>
      </c>
      <c r="F212" s="8">
        <v>1</v>
      </c>
      <c r="G212" s="8">
        <v>1</v>
      </c>
      <c r="H212" s="8" t="s">
        <v>273</v>
      </c>
      <c r="I212" s="8" t="s">
        <v>31</v>
      </c>
      <c r="J212" s="8" t="s">
        <v>646</v>
      </c>
    </row>
    <row r="213" spans="1:10" x14ac:dyDescent="0.2">
      <c r="A213" s="8" t="s">
        <v>647</v>
      </c>
      <c r="B213" s="8" t="s">
        <v>87</v>
      </c>
      <c r="C213" s="8" t="s">
        <v>70</v>
      </c>
      <c r="D213" s="8">
        <v>4</v>
      </c>
      <c r="E213" s="8">
        <v>1</v>
      </c>
      <c r="F213" s="8">
        <v>1</v>
      </c>
      <c r="G213" s="8">
        <v>1</v>
      </c>
      <c r="H213" s="8" t="s">
        <v>273</v>
      </c>
      <c r="I213" s="8" t="s">
        <v>31</v>
      </c>
      <c r="J213" s="8" t="s">
        <v>648</v>
      </c>
    </row>
    <row r="214" spans="1:10" x14ac:dyDescent="0.2">
      <c r="A214" s="8" t="s">
        <v>649</v>
      </c>
      <c r="B214" s="8" t="s">
        <v>87</v>
      </c>
      <c r="C214" s="8" t="s">
        <v>70</v>
      </c>
      <c r="D214" s="8">
        <v>4</v>
      </c>
      <c r="E214" s="8">
        <v>2</v>
      </c>
      <c r="F214" s="8">
        <v>6</v>
      </c>
      <c r="G214" s="8">
        <v>1</v>
      </c>
      <c r="H214" s="8" t="s">
        <v>273</v>
      </c>
      <c r="I214" s="8" t="s">
        <v>31</v>
      </c>
      <c r="J214" s="8" t="s">
        <v>650</v>
      </c>
    </row>
    <row r="215" spans="1:10" x14ac:dyDescent="0.2">
      <c r="A215" s="8" t="s">
        <v>651</v>
      </c>
      <c r="B215" s="8" t="s">
        <v>87</v>
      </c>
      <c r="C215" s="8" t="s">
        <v>70</v>
      </c>
      <c r="D215" s="8">
        <v>4</v>
      </c>
      <c r="E215" s="8">
        <v>2</v>
      </c>
      <c r="F215" s="8">
        <v>6</v>
      </c>
      <c r="G215" s="8">
        <v>1</v>
      </c>
      <c r="H215" s="8" t="s">
        <v>273</v>
      </c>
      <c r="I215" s="8" t="s">
        <v>31</v>
      </c>
      <c r="J215" s="8" t="s">
        <v>652</v>
      </c>
    </row>
    <row r="216" spans="1:10" x14ac:dyDescent="0.2">
      <c r="A216" s="8" t="s">
        <v>653</v>
      </c>
      <c r="B216" s="8" t="s">
        <v>87</v>
      </c>
      <c r="C216" s="8" t="s">
        <v>70</v>
      </c>
      <c r="D216" s="8">
        <v>4</v>
      </c>
      <c r="E216" s="8">
        <v>2</v>
      </c>
      <c r="F216" s="8">
        <v>6</v>
      </c>
      <c r="G216" s="8">
        <v>1</v>
      </c>
      <c r="H216" s="8" t="s">
        <v>273</v>
      </c>
      <c r="I216" s="8" t="s">
        <v>31</v>
      </c>
      <c r="J216" s="8" t="s">
        <v>654</v>
      </c>
    </row>
    <row r="217" spans="1:10" x14ac:dyDescent="0.2">
      <c r="A217" s="8" t="s">
        <v>655</v>
      </c>
      <c r="B217" s="8" t="s">
        <v>87</v>
      </c>
      <c r="C217" s="8" t="s">
        <v>70</v>
      </c>
      <c r="D217" s="8">
        <v>4</v>
      </c>
      <c r="E217" s="8">
        <v>3</v>
      </c>
      <c r="F217" s="8">
        <v>12</v>
      </c>
      <c r="G217" s="8">
        <v>1</v>
      </c>
      <c r="H217" s="8" t="s">
        <v>273</v>
      </c>
      <c r="I217" s="8" t="s">
        <v>31</v>
      </c>
      <c r="J217" s="8" t="s">
        <v>656</v>
      </c>
    </row>
    <row r="218" spans="1:10" x14ac:dyDescent="0.2">
      <c r="A218" s="8" t="s">
        <v>657</v>
      </c>
      <c r="B218" s="8" t="s">
        <v>87</v>
      </c>
      <c r="C218" s="8" t="s">
        <v>70</v>
      </c>
      <c r="D218" s="8">
        <v>4</v>
      </c>
      <c r="E218" s="8">
        <v>3</v>
      </c>
      <c r="F218" s="8">
        <v>12</v>
      </c>
      <c r="G218" s="8">
        <v>1</v>
      </c>
      <c r="H218" s="8" t="s">
        <v>273</v>
      </c>
      <c r="I218" s="8" t="s">
        <v>31</v>
      </c>
      <c r="J218" s="8" t="s">
        <v>658</v>
      </c>
    </row>
    <row r="219" spans="1:10" x14ac:dyDescent="0.2">
      <c r="A219" s="8" t="s">
        <v>659</v>
      </c>
      <c r="B219" s="8" t="s">
        <v>87</v>
      </c>
      <c r="C219" s="8" t="s">
        <v>70</v>
      </c>
      <c r="D219" s="8">
        <v>4</v>
      </c>
      <c r="E219" s="8">
        <v>3</v>
      </c>
      <c r="F219" s="8">
        <v>12</v>
      </c>
      <c r="G219" s="8">
        <v>1</v>
      </c>
      <c r="H219" s="8" t="s">
        <v>273</v>
      </c>
      <c r="I219" s="8" t="s">
        <v>31</v>
      </c>
      <c r="J219" s="8" t="s">
        <v>660</v>
      </c>
    </row>
    <row r="220" spans="1:10" x14ac:dyDescent="0.2">
      <c r="A220" s="8" t="s">
        <v>661</v>
      </c>
      <c r="B220" s="8" t="s">
        <v>87</v>
      </c>
      <c r="C220" s="8" t="s">
        <v>70</v>
      </c>
      <c r="D220" s="8">
        <v>4</v>
      </c>
      <c r="E220" s="8">
        <v>4</v>
      </c>
      <c r="F220" s="8">
        <v>18</v>
      </c>
      <c r="G220" s="8">
        <v>1</v>
      </c>
      <c r="H220" s="8" t="s">
        <v>273</v>
      </c>
      <c r="I220" s="8" t="s">
        <v>31</v>
      </c>
      <c r="J220" s="8" t="s">
        <v>662</v>
      </c>
    </row>
    <row r="221" spans="1:10" x14ac:dyDescent="0.2">
      <c r="A221" s="8" t="s">
        <v>663</v>
      </c>
      <c r="B221" s="8" t="s">
        <v>87</v>
      </c>
      <c r="C221" s="8" t="s">
        <v>70</v>
      </c>
      <c r="D221" s="8">
        <v>4</v>
      </c>
      <c r="E221" s="8">
        <v>4</v>
      </c>
      <c r="F221" s="8">
        <v>18</v>
      </c>
      <c r="G221" s="8">
        <v>1</v>
      </c>
      <c r="H221" s="8" t="s">
        <v>273</v>
      </c>
      <c r="I221" s="8" t="s">
        <v>31</v>
      </c>
      <c r="J221" s="8" t="s">
        <v>664</v>
      </c>
    </row>
    <row r="222" spans="1:10" x14ac:dyDescent="0.2">
      <c r="A222" s="8" t="s">
        <v>665</v>
      </c>
      <c r="B222" s="8" t="s">
        <v>87</v>
      </c>
      <c r="C222" s="8" t="s">
        <v>70</v>
      </c>
      <c r="D222" s="8">
        <v>4</v>
      </c>
      <c r="E222" s="8">
        <v>4</v>
      </c>
      <c r="F222" s="8">
        <v>18</v>
      </c>
      <c r="G222" s="8">
        <v>1</v>
      </c>
      <c r="H222" s="8" t="s">
        <v>273</v>
      </c>
      <c r="I222" s="8" t="s">
        <v>31</v>
      </c>
      <c r="J222" s="8" t="s">
        <v>666</v>
      </c>
    </row>
    <row r="223" spans="1:10" x14ac:dyDescent="0.2">
      <c r="A223" s="8" t="s">
        <v>667</v>
      </c>
      <c r="B223" s="8" t="s">
        <v>87</v>
      </c>
      <c r="C223" s="8" t="s">
        <v>70</v>
      </c>
      <c r="D223" s="8">
        <v>4</v>
      </c>
      <c r="E223" s="8">
        <v>5</v>
      </c>
      <c r="F223" s="8">
        <v>24</v>
      </c>
      <c r="G223" s="8">
        <v>1</v>
      </c>
      <c r="H223" s="8" t="s">
        <v>273</v>
      </c>
      <c r="I223" s="8" t="s">
        <v>31</v>
      </c>
      <c r="J223" s="8" t="s">
        <v>668</v>
      </c>
    </row>
    <row r="224" spans="1:10" x14ac:dyDescent="0.2">
      <c r="A224" s="8" t="s">
        <v>669</v>
      </c>
      <c r="B224" s="8" t="s">
        <v>87</v>
      </c>
      <c r="C224" s="8" t="s">
        <v>70</v>
      </c>
      <c r="D224" s="8">
        <v>4</v>
      </c>
      <c r="E224" s="8">
        <v>5</v>
      </c>
      <c r="F224" s="8">
        <v>24</v>
      </c>
      <c r="G224" s="8">
        <v>1</v>
      </c>
      <c r="H224" s="8" t="s">
        <v>273</v>
      </c>
      <c r="I224" s="8" t="s">
        <v>31</v>
      </c>
      <c r="J224" s="8" t="s">
        <v>670</v>
      </c>
    </row>
    <row r="225" spans="1:10" x14ac:dyDescent="0.2">
      <c r="A225" s="8" t="s">
        <v>671</v>
      </c>
      <c r="B225" s="8" t="s">
        <v>87</v>
      </c>
      <c r="C225" s="8" t="s">
        <v>70</v>
      </c>
      <c r="D225" s="8">
        <v>4</v>
      </c>
      <c r="E225" s="8">
        <v>5</v>
      </c>
      <c r="F225" s="8">
        <v>24</v>
      </c>
      <c r="G225" s="8">
        <v>1</v>
      </c>
      <c r="H225" s="8" t="s">
        <v>273</v>
      </c>
      <c r="I225" s="8" t="s">
        <v>31</v>
      </c>
      <c r="J225" s="8" t="s">
        <v>672</v>
      </c>
    </row>
    <row r="226" spans="1:10" x14ac:dyDescent="0.2">
      <c r="A226" s="8" t="s">
        <v>673</v>
      </c>
      <c r="B226" s="8" t="s">
        <v>87</v>
      </c>
      <c r="C226" s="8" t="s">
        <v>70</v>
      </c>
      <c r="D226" s="8">
        <v>4</v>
      </c>
      <c r="E226" s="8">
        <v>6</v>
      </c>
      <c r="F226" s="8">
        <v>30</v>
      </c>
      <c r="G226" s="8">
        <v>1</v>
      </c>
      <c r="H226" s="8" t="s">
        <v>273</v>
      </c>
      <c r="I226" s="8" t="s">
        <v>31</v>
      </c>
      <c r="J226" s="8" t="s">
        <v>674</v>
      </c>
    </row>
    <row r="227" spans="1:10" x14ac:dyDescent="0.2">
      <c r="A227" s="8" t="s">
        <v>675</v>
      </c>
      <c r="B227" s="8" t="s">
        <v>87</v>
      </c>
      <c r="C227" s="8" t="s">
        <v>70</v>
      </c>
      <c r="D227" s="8">
        <v>4</v>
      </c>
      <c r="E227" s="8">
        <v>6</v>
      </c>
      <c r="F227" s="8">
        <v>30</v>
      </c>
      <c r="G227" s="8">
        <v>1</v>
      </c>
      <c r="H227" s="8" t="s">
        <v>273</v>
      </c>
      <c r="I227" s="8" t="s">
        <v>31</v>
      </c>
      <c r="J227" s="8" t="s">
        <v>676</v>
      </c>
    </row>
    <row r="228" spans="1:10" x14ac:dyDescent="0.2">
      <c r="A228" s="8" t="s">
        <v>677</v>
      </c>
      <c r="B228" s="8" t="s">
        <v>87</v>
      </c>
      <c r="C228" s="8" t="s">
        <v>70</v>
      </c>
      <c r="D228" s="8">
        <v>4</v>
      </c>
      <c r="E228" s="8">
        <v>6</v>
      </c>
      <c r="F228" s="8">
        <v>30</v>
      </c>
      <c r="G228" s="8">
        <v>1</v>
      </c>
      <c r="H228" s="8" t="s">
        <v>273</v>
      </c>
      <c r="I228" s="8" t="s">
        <v>31</v>
      </c>
      <c r="J228" s="8" t="s">
        <v>678</v>
      </c>
    </row>
    <row r="229" spans="1:10" x14ac:dyDescent="0.2">
      <c r="A229" s="8" t="s">
        <v>679</v>
      </c>
      <c r="B229" s="8" t="s">
        <v>87</v>
      </c>
      <c r="C229" s="8" t="s">
        <v>70</v>
      </c>
      <c r="D229" s="8">
        <v>4</v>
      </c>
      <c r="E229" s="8">
        <v>7</v>
      </c>
      <c r="F229" s="8">
        <v>36</v>
      </c>
      <c r="G229" s="8">
        <v>1</v>
      </c>
      <c r="H229" s="8" t="s">
        <v>273</v>
      </c>
      <c r="I229" s="8" t="s">
        <v>31</v>
      </c>
      <c r="J229" s="8" t="s">
        <v>680</v>
      </c>
    </row>
    <row r="230" spans="1:10" x14ac:dyDescent="0.2">
      <c r="A230" s="8" t="s">
        <v>681</v>
      </c>
      <c r="B230" s="8" t="s">
        <v>82</v>
      </c>
      <c r="C230" s="8" t="s">
        <v>272</v>
      </c>
      <c r="D230" s="8">
        <v>1</v>
      </c>
      <c r="E230" s="8">
        <v>1</v>
      </c>
      <c r="F230" s="8">
        <v>1</v>
      </c>
      <c r="G230" s="8">
        <v>98</v>
      </c>
      <c r="H230" s="8" t="s">
        <v>273</v>
      </c>
      <c r="I230" s="8" t="s">
        <v>31</v>
      </c>
      <c r="J230" s="8" t="s">
        <v>682</v>
      </c>
    </row>
    <row r="231" spans="1:10" x14ac:dyDescent="0.2">
      <c r="A231" s="8" t="s">
        <v>683</v>
      </c>
      <c r="B231" s="8" t="s">
        <v>82</v>
      </c>
      <c r="C231" s="8" t="s">
        <v>272</v>
      </c>
      <c r="D231" s="8">
        <v>1</v>
      </c>
      <c r="E231" s="8">
        <v>1</v>
      </c>
      <c r="F231" s="8">
        <v>1</v>
      </c>
      <c r="G231" s="8">
        <v>98</v>
      </c>
      <c r="H231" s="8" t="s">
        <v>273</v>
      </c>
      <c r="I231" s="8" t="s">
        <v>31</v>
      </c>
      <c r="J231" s="8" t="s">
        <v>684</v>
      </c>
    </row>
    <row r="232" spans="1:10" x14ac:dyDescent="0.2">
      <c r="A232" s="8" t="s">
        <v>685</v>
      </c>
      <c r="B232" s="8" t="s">
        <v>82</v>
      </c>
      <c r="C232" s="8" t="s">
        <v>272</v>
      </c>
      <c r="D232" s="8">
        <v>1</v>
      </c>
      <c r="E232" s="8">
        <v>2</v>
      </c>
      <c r="F232" s="8">
        <v>6</v>
      </c>
      <c r="G232" s="8">
        <v>98</v>
      </c>
      <c r="H232" s="8" t="s">
        <v>273</v>
      </c>
      <c r="I232" s="8" t="s">
        <v>31</v>
      </c>
      <c r="J232" s="8" t="s">
        <v>686</v>
      </c>
    </row>
    <row r="233" spans="1:10" x14ac:dyDescent="0.2">
      <c r="A233" s="8" t="s">
        <v>687</v>
      </c>
      <c r="B233" s="8" t="s">
        <v>82</v>
      </c>
      <c r="C233" s="8" t="s">
        <v>272</v>
      </c>
      <c r="D233" s="8">
        <v>1</v>
      </c>
      <c r="E233" s="8">
        <v>2</v>
      </c>
      <c r="F233" s="8">
        <v>6</v>
      </c>
      <c r="G233" s="8">
        <v>98</v>
      </c>
      <c r="H233" s="8" t="s">
        <v>273</v>
      </c>
      <c r="I233" s="8" t="s">
        <v>31</v>
      </c>
      <c r="J233" s="8" t="s">
        <v>688</v>
      </c>
    </row>
    <row r="234" spans="1:10" x14ac:dyDescent="0.2">
      <c r="A234" s="8" t="s">
        <v>689</v>
      </c>
      <c r="B234" s="8" t="s">
        <v>82</v>
      </c>
      <c r="C234" s="8" t="s">
        <v>272</v>
      </c>
      <c r="D234" s="8">
        <v>1</v>
      </c>
      <c r="E234" s="8">
        <v>3</v>
      </c>
      <c r="F234" s="8">
        <v>12</v>
      </c>
      <c r="G234" s="8">
        <v>98</v>
      </c>
      <c r="H234" s="8" t="s">
        <v>273</v>
      </c>
      <c r="I234" s="8" t="s">
        <v>31</v>
      </c>
      <c r="J234" s="8" t="s">
        <v>690</v>
      </c>
    </row>
    <row r="235" spans="1:10" x14ac:dyDescent="0.2">
      <c r="A235" s="8" t="s">
        <v>691</v>
      </c>
      <c r="B235" s="8" t="s">
        <v>82</v>
      </c>
      <c r="C235" s="8" t="s">
        <v>272</v>
      </c>
      <c r="D235" s="8">
        <v>1</v>
      </c>
      <c r="E235" s="8">
        <v>4</v>
      </c>
      <c r="F235" s="8">
        <v>18</v>
      </c>
      <c r="G235" s="8">
        <v>98</v>
      </c>
      <c r="H235" s="8" t="s">
        <v>273</v>
      </c>
      <c r="I235" s="8" t="s">
        <v>31</v>
      </c>
      <c r="J235" s="8" t="s">
        <v>692</v>
      </c>
    </row>
    <row r="236" spans="1:10" x14ac:dyDescent="0.2">
      <c r="A236" s="8" t="s">
        <v>693</v>
      </c>
      <c r="B236" s="8" t="s">
        <v>82</v>
      </c>
      <c r="C236" s="8" t="s">
        <v>272</v>
      </c>
      <c r="D236" s="8">
        <v>1</v>
      </c>
      <c r="E236" s="8">
        <v>5</v>
      </c>
      <c r="F236" s="8">
        <v>24</v>
      </c>
      <c r="G236" s="8">
        <v>98</v>
      </c>
      <c r="H236" s="8" t="s">
        <v>273</v>
      </c>
      <c r="I236" s="8" t="s">
        <v>31</v>
      </c>
      <c r="J236" s="8" t="s">
        <v>694</v>
      </c>
    </row>
    <row r="237" spans="1:10" x14ac:dyDescent="0.2">
      <c r="A237" s="8" t="s">
        <v>695</v>
      </c>
      <c r="B237" s="8" t="s">
        <v>82</v>
      </c>
      <c r="C237" s="8" t="s">
        <v>272</v>
      </c>
      <c r="D237" s="8">
        <v>1</v>
      </c>
      <c r="E237" s="8">
        <v>5</v>
      </c>
      <c r="F237" s="8">
        <v>24</v>
      </c>
      <c r="G237" s="8">
        <v>98</v>
      </c>
      <c r="H237" s="8" t="s">
        <v>273</v>
      </c>
      <c r="I237" s="8" t="s">
        <v>31</v>
      </c>
      <c r="J237" s="8" t="s">
        <v>696</v>
      </c>
    </row>
    <row r="238" spans="1:10" x14ac:dyDescent="0.2">
      <c r="A238" s="8" t="s">
        <v>697</v>
      </c>
      <c r="B238" s="8" t="s">
        <v>82</v>
      </c>
      <c r="C238" s="8" t="s">
        <v>272</v>
      </c>
      <c r="D238" s="8">
        <v>1</v>
      </c>
      <c r="E238" s="8">
        <v>6</v>
      </c>
      <c r="F238" s="8">
        <v>30</v>
      </c>
      <c r="G238" s="8">
        <v>98</v>
      </c>
      <c r="H238" s="8" t="s">
        <v>273</v>
      </c>
      <c r="I238" s="8" t="s">
        <v>31</v>
      </c>
      <c r="J238" s="8" t="s">
        <v>698</v>
      </c>
    </row>
    <row r="239" spans="1:10" x14ac:dyDescent="0.2">
      <c r="A239" s="8" t="s">
        <v>699</v>
      </c>
      <c r="B239" s="8" t="s">
        <v>82</v>
      </c>
      <c r="C239" s="8" t="s">
        <v>70</v>
      </c>
      <c r="D239" s="8">
        <v>1</v>
      </c>
      <c r="E239" s="8">
        <v>6</v>
      </c>
      <c r="F239" s="8">
        <v>30</v>
      </c>
      <c r="G239" s="8">
        <v>98</v>
      </c>
      <c r="H239" s="8" t="s">
        <v>273</v>
      </c>
      <c r="I239" s="8" t="s">
        <v>31</v>
      </c>
      <c r="J239" s="8" t="s">
        <v>700</v>
      </c>
    </row>
    <row r="240" spans="1:10" x14ac:dyDescent="0.2">
      <c r="A240" s="8" t="s">
        <v>148</v>
      </c>
      <c r="B240" s="8" t="s">
        <v>82</v>
      </c>
      <c r="C240" s="8" t="s">
        <v>272</v>
      </c>
      <c r="D240" s="8">
        <v>2</v>
      </c>
      <c r="E240" s="8">
        <v>1</v>
      </c>
      <c r="F240" s="8">
        <v>1</v>
      </c>
      <c r="G240" s="8">
        <v>98</v>
      </c>
      <c r="H240" s="8" t="s">
        <v>292</v>
      </c>
      <c r="I240" s="8" t="s">
        <v>701</v>
      </c>
      <c r="J240" s="8" t="s">
        <v>702</v>
      </c>
    </row>
    <row r="241" spans="1:10" x14ac:dyDescent="0.2">
      <c r="A241" s="8" t="s">
        <v>703</v>
      </c>
      <c r="B241" s="8" t="s">
        <v>82</v>
      </c>
      <c r="C241" s="8" t="s">
        <v>272</v>
      </c>
      <c r="D241" s="8">
        <v>2</v>
      </c>
      <c r="E241" s="8">
        <v>2</v>
      </c>
      <c r="F241" s="8">
        <v>6</v>
      </c>
      <c r="G241" s="8">
        <v>98</v>
      </c>
      <c r="H241" s="8" t="s">
        <v>273</v>
      </c>
      <c r="I241" s="8" t="s">
        <v>31</v>
      </c>
      <c r="J241" s="8" t="s">
        <v>704</v>
      </c>
    </row>
    <row r="242" spans="1:10" x14ac:dyDescent="0.2">
      <c r="A242" s="8" t="s">
        <v>229</v>
      </c>
      <c r="B242" s="8" t="s">
        <v>82</v>
      </c>
      <c r="C242" s="8" t="s">
        <v>272</v>
      </c>
      <c r="D242" s="8">
        <v>2</v>
      </c>
      <c r="E242" s="8">
        <v>2</v>
      </c>
      <c r="F242" s="8">
        <v>6</v>
      </c>
      <c r="G242" s="8">
        <v>98</v>
      </c>
      <c r="H242" s="8" t="s">
        <v>292</v>
      </c>
      <c r="I242" s="8" t="s">
        <v>229</v>
      </c>
      <c r="J242" s="8" t="s">
        <v>705</v>
      </c>
    </row>
    <row r="243" spans="1:10" x14ac:dyDescent="0.2">
      <c r="A243" s="8" t="s">
        <v>207</v>
      </c>
      <c r="B243" s="8" t="s">
        <v>82</v>
      </c>
      <c r="C243" s="8" t="s">
        <v>272</v>
      </c>
      <c r="D243" s="8">
        <v>2</v>
      </c>
      <c r="E243" s="8">
        <v>3</v>
      </c>
      <c r="F243" s="8">
        <v>12</v>
      </c>
      <c r="G243" s="8">
        <v>98</v>
      </c>
      <c r="H243" s="8" t="s">
        <v>292</v>
      </c>
      <c r="I243" s="8" t="s">
        <v>207</v>
      </c>
      <c r="J243" s="8" t="s">
        <v>706</v>
      </c>
    </row>
    <row r="244" spans="1:10" x14ac:dyDescent="0.2">
      <c r="A244" s="8" t="s">
        <v>198</v>
      </c>
      <c r="B244" s="8" t="s">
        <v>82</v>
      </c>
      <c r="C244" s="8" t="s">
        <v>272</v>
      </c>
      <c r="D244" s="8">
        <v>2</v>
      </c>
      <c r="E244" s="8">
        <v>3</v>
      </c>
      <c r="F244" s="8">
        <v>12</v>
      </c>
      <c r="G244" s="8">
        <v>98</v>
      </c>
      <c r="H244" s="8" t="s">
        <v>292</v>
      </c>
      <c r="I244" s="8" t="s">
        <v>198</v>
      </c>
      <c r="J244" s="8" t="s">
        <v>707</v>
      </c>
    </row>
    <row r="245" spans="1:10" x14ac:dyDescent="0.2">
      <c r="A245" s="8" t="s">
        <v>145</v>
      </c>
      <c r="B245" s="8" t="s">
        <v>82</v>
      </c>
      <c r="C245" s="8" t="s">
        <v>272</v>
      </c>
      <c r="D245" s="8">
        <v>2</v>
      </c>
      <c r="E245" s="8">
        <v>4</v>
      </c>
      <c r="F245" s="8">
        <v>18</v>
      </c>
      <c r="G245" s="8">
        <v>98</v>
      </c>
      <c r="H245" s="8" t="s">
        <v>292</v>
      </c>
      <c r="I245" s="8" t="s">
        <v>708</v>
      </c>
      <c r="J245" s="8" t="s">
        <v>709</v>
      </c>
    </row>
    <row r="246" spans="1:10" x14ac:dyDescent="0.2">
      <c r="A246" s="8" t="s">
        <v>231</v>
      </c>
      <c r="B246" s="8" t="s">
        <v>82</v>
      </c>
      <c r="C246" s="8" t="s">
        <v>272</v>
      </c>
      <c r="D246" s="8">
        <v>2</v>
      </c>
      <c r="E246" s="8">
        <v>4</v>
      </c>
      <c r="F246" s="8">
        <v>18</v>
      </c>
      <c r="G246" s="8">
        <v>98</v>
      </c>
      <c r="H246" s="8" t="s">
        <v>292</v>
      </c>
      <c r="I246" s="8" t="s">
        <v>231</v>
      </c>
      <c r="J246" s="8" t="s">
        <v>710</v>
      </c>
    </row>
    <row r="247" spans="1:10" x14ac:dyDescent="0.2">
      <c r="A247" s="8" t="s">
        <v>711</v>
      </c>
      <c r="B247" s="8" t="s">
        <v>82</v>
      </c>
      <c r="C247" s="8" t="s">
        <v>272</v>
      </c>
      <c r="D247" s="8">
        <v>2</v>
      </c>
      <c r="E247" s="8">
        <v>5</v>
      </c>
      <c r="F247" s="8">
        <v>24</v>
      </c>
      <c r="G247" s="8">
        <v>98</v>
      </c>
      <c r="H247" s="8" t="s">
        <v>273</v>
      </c>
      <c r="I247" s="8" t="s">
        <v>31</v>
      </c>
      <c r="J247" s="8" t="s">
        <v>712</v>
      </c>
    </row>
    <row r="248" spans="1:10" x14ac:dyDescent="0.2">
      <c r="A248" s="8" t="s">
        <v>713</v>
      </c>
      <c r="B248" s="8" t="s">
        <v>82</v>
      </c>
      <c r="C248" s="8" t="s">
        <v>272</v>
      </c>
      <c r="D248" s="8">
        <v>2</v>
      </c>
      <c r="E248" s="8">
        <v>5</v>
      </c>
      <c r="F248" s="8">
        <v>24</v>
      </c>
      <c r="G248" s="8">
        <v>98</v>
      </c>
      <c r="H248" s="8" t="s">
        <v>292</v>
      </c>
      <c r="I248" s="8" t="s">
        <v>378</v>
      </c>
      <c r="J248" s="8" t="s">
        <v>714</v>
      </c>
    </row>
    <row r="249" spans="1:10" ht="25.5" x14ac:dyDescent="0.2">
      <c r="A249" s="8" t="s">
        <v>81</v>
      </c>
      <c r="B249" s="8" t="s">
        <v>82</v>
      </c>
      <c r="C249" s="8" t="s">
        <v>70</v>
      </c>
      <c r="D249" s="8">
        <v>2</v>
      </c>
      <c r="E249" s="8">
        <v>6</v>
      </c>
      <c r="F249" s="8">
        <v>30</v>
      </c>
      <c r="G249" s="8">
        <v>98</v>
      </c>
      <c r="H249" s="8" t="s">
        <v>292</v>
      </c>
      <c r="I249" s="8" t="s">
        <v>31</v>
      </c>
      <c r="J249" s="8" t="s">
        <v>715</v>
      </c>
    </row>
    <row r="250" spans="1:10" x14ac:dyDescent="0.2">
      <c r="A250" s="8" t="s">
        <v>716</v>
      </c>
      <c r="B250" s="8" t="s">
        <v>82</v>
      </c>
      <c r="C250" s="8" t="s">
        <v>272</v>
      </c>
      <c r="D250" s="8">
        <v>3</v>
      </c>
      <c r="E250" s="8">
        <v>1</v>
      </c>
      <c r="F250" s="8">
        <v>1</v>
      </c>
      <c r="G250" s="8">
        <v>98</v>
      </c>
      <c r="H250" s="8" t="s">
        <v>292</v>
      </c>
      <c r="I250" s="8" t="s">
        <v>164</v>
      </c>
      <c r="J250" s="8" t="s">
        <v>717</v>
      </c>
    </row>
    <row r="251" spans="1:10" x14ac:dyDescent="0.2">
      <c r="A251" s="8" t="s">
        <v>83</v>
      </c>
      <c r="B251" s="8" t="s">
        <v>82</v>
      </c>
      <c r="C251" s="8" t="s">
        <v>70</v>
      </c>
      <c r="D251" s="8">
        <v>3</v>
      </c>
      <c r="E251" s="8">
        <v>1</v>
      </c>
      <c r="F251" s="8">
        <v>1</v>
      </c>
      <c r="G251" s="8">
        <v>98</v>
      </c>
      <c r="H251" s="8" t="s">
        <v>292</v>
      </c>
      <c r="I251" s="8" t="s">
        <v>31</v>
      </c>
      <c r="J251" s="8" t="s">
        <v>718</v>
      </c>
    </row>
    <row r="252" spans="1:10" x14ac:dyDescent="0.2">
      <c r="A252" s="8" t="s">
        <v>192</v>
      </c>
      <c r="B252" s="8" t="s">
        <v>82</v>
      </c>
      <c r="C252" s="8" t="s">
        <v>272</v>
      </c>
      <c r="D252" s="8">
        <v>3</v>
      </c>
      <c r="E252" s="8">
        <v>2</v>
      </c>
      <c r="F252" s="8">
        <v>6</v>
      </c>
      <c r="G252" s="8">
        <v>98</v>
      </c>
      <c r="H252" s="8" t="s">
        <v>292</v>
      </c>
      <c r="I252" s="8" t="s">
        <v>192</v>
      </c>
      <c r="J252" s="8" t="s">
        <v>719</v>
      </c>
    </row>
    <row r="253" spans="1:10" x14ac:dyDescent="0.2">
      <c r="A253" s="8" t="s">
        <v>720</v>
      </c>
      <c r="B253" s="8" t="s">
        <v>82</v>
      </c>
      <c r="C253" s="8" t="s">
        <v>272</v>
      </c>
      <c r="D253" s="8">
        <v>3</v>
      </c>
      <c r="E253" s="8">
        <v>3</v>
      </c>
      <c r="F253" s="8">
        <v>12</v>
      </c>
      <c r="G253" s="8">
        <v>98</v>
      </c>
      <c r="H253" s="8" t="s">
        <v>292</v>
      </c>
      <c r="I253" s="8" t="s">
        <v>721</v>
      </c>
      <c r="J253" s="8" t="s">
        <v>722</v>
      </c>
    </row>
    <row r="254" spans="1:10" x14ac:dyDescent="0.2">
      <c r="A254" s="8" t="s">
        <v>723</v>
      </c>
      <c r="B254" s="8" t="s">
        <v>82</v>
      </c>
      <c r="C254" s="8" t="s">
        <v>272</v>
      </c>
      <c r="D254" s="8">
        <v>3</v>
      </c>
      <c r="E254" s="8">
        <v>3</v>
      </c>
      <c r="F254" s="8">
        <v>12</v>
      </c>
      <c r="G254" s="8">
        <v>98</v>
      </c>
      <c r="H254" s="8" t="s">
        <v>292</v>
      </c>
      <c r="I254" s="8" t="s">
        <v>161</v>
      </c>
      <c r="J254" s="8" t="s">
        <v>724</v>
      </c>
    </row>
    <row r="255" spans="1:10" x14ac:dyDescent="0.2">
      <c r="A255" s="8" t="s">
        <v>158</v>
      </c>
      <c r="B255" s="8" t="s">
        <v>82</v>
      </c>
      <c r="C255" s="8" t="s">
        <v>272</v>
      </c>
      <c r="D255" s="8">
        <v>3</v>
      </c>
      <c r="E255" s="8">
        <v>4</v>
      </c>
      <c r="F255" s="8">
        <v>18</v>
      </c>
      <c r="G255" s="8">
        <v>98</v>
      </c>
      <c r="H255" s="8" t="s">
        <v>292</v>
      </c>
      <c r="I255" s="8" t="s">
        <v>725</v>
      </c>
      <c r="J255" s="8" t="s">
        <v>726</v>
      </c>
    </row>
    <row r="256" spans="1:10" ht="25.5" x14ac:dyDescent="0.2">
      <c r="A256" s="8" t="s">
        <v>84</v>
      </c>
      <c r="B256" s="8" t="s">
        <v>82</v>
      </c>
      <c r="C256" s="8" t="s">
        <v>70</v>
      </c>
      <c r="D256" s="8">
        <v>3</v>
      </c>
      <c r="E256" s="8">
        <v>4</v>
      </c>
      <c r="F256" s="8">
        <v>18</v>
      </c>
      <c r="G256" s="8">
        <v>98</v>
      </c>
      <c r="H256" s="8" t="s">
        <v>292</v>
      </c>
      <c r="I256" s="8" t="s">
        <v>31</v>
      </c>
      <c r="J256" s="8" t="s">
        <v>727</v>
      </c>
    </row>
    <row r="257" spans="1:10" x14ac:dyDescent="0.2">
      <c r="A257" s="8" t="s">
        <v>728</v>
      </c>
      <c r="B257" s="8" t="s">
        <v>82</v>
      </c>
      <c r="C257" s="8" t="s">
        <v>272</v>
      </c>
      <c r="D257" s="8">
        <v>3</v>
      </c>
      <c r="E257" s="8">
        <v>5</v>
      </c>
      <c r="F257" s="8">
        <v>24</v>
      </c>
      <c r="G257" s="8">
        <v>98</v>
      </c>
      <c r="H257" s="8" t="s">
        <v>273</v>
      </c>
      <c r="I257" s="8" t="s">
        <v>31</v>
      </c>
      <c r="J257" s="8" t="s">
        <v>729</v>
      </c>
    </row>
    <row r="258" spans="1:10" x14ac:dyDescent="0.2">
      <c r="A258" s="8" t="s">
        <v>730</v>
      </c>
      <c r="B258" s="8" t="s">
        <v>82</v>
      </c>
      <c r="C258" s="8" t="s">
        <v>272</v>
      </c>
      <c r="D258" s="8">
        <v>3</v>
      </c>
      <c r="E258" s="8">
        <v>6</v>
      </c>
      <c r="F258" s="8">
        <v>30</v>
      </c>
      <c r="G258" s="8">
        <v>98</v>
      </c>
      <c r="H258" s="8" t="s">
        <v>292</v>
      </c>
      <c r="I258" s="8" t="s">
        <v>177</v>
      </c>
      <c r="J258" s="8" t="s">
        <v>731</v>
      </c>
    </row>
    <row r="259" spans="1:10" ht="25.5" x14ac:dyDescent="0.2">
      <c r="A259" s="8" t="s">
        <v>85</v>
      </c>
      <c r="B259" s="8" t="s">
        <v>82</v>
      </c>
      <c r="C259" s="8" t="s">
        <v>70</v>
      </c>
      <c r="D259" s="8">
        <v>3</v>
      </c>
      <c r="E259" s="8">
        <v>6</v>
      </c>
      <c r="F259" s="8">
        <v>30</v>
      </c>
      <c r="G259" s="8">
        <v>98</v>
      </c>
      <c r="H259" s="8" t="s">
        <v>292</v>
      </c>
      <c r="I259" s="8" t="s">
        <v>31</v>
      </c>
      <c r="J259" s="8" t="s">
        <v>732</v>
      </c>
    </row>
    <row r="260" spans="1:10" x14ac:dyDescent="0.2">
      <c r="A260" s="8" t="s">
        <v>733</v>
      </c>
      <c r="B260" s="8" t="s">
        <v>82</v>
      </c>
      <c r="C260" s="8" t="s">
        <v>70</v>
      </c>
      <c r="D260" s="8">
        <v>4</v>
      </c>
      <c r="E260" s="8">
        <v>1</v>
      </c>
      <c r="F260" s="8">
        <v>1</v>
      </c>
      <c r="G260" s="8">
        <v>1</v>
      </c>
      <c r="H260" s="8" t="s">
        <v>273</v>
      </c>
      <c r="I260" s="8" t="s">
        <v>31</v>
      </c>
      <c r="J260" s="8" t="s">
        <v>734</v>
      </c>
    </row>
    <row r="261" spans="1:10" x14ac:dyDescent="0.2">
      <c r="A261" s="8" t="s">
        <v>735</v>
      </c>
      <c r="B261" s="8" t="s">
        <v>82</v>
      </c>
      <c r="C261" s="8" t="s">
        <v>70</v>
      </c>
      <c r="D261" s="8">
        <v>4</v>
      </c>
      <c r="E261" s="8">
        <v>1</v>
      </c>
      <c r="F261" s="8">
        <v>1</v>
      </c>
      <c r="G261" s="8">
        <v>1</v>
      </c>
      <c r="H261" s="8" t="s">
        <v>273</v>
      </c>
      <c r="I261" s="8" t="s">
        <v>31</v>
      </c>
      <c r="J261" s="8" t="s">
        <v>736</v>
      </c>
    </row>
    <row r="262" spans="1:10" x14ac:dyDescent="0.2">
      <c r="A262" s="8" t="s">
        <v>737</v>
      </c>
      <c r="B262" s="8" t="s">
        <v>82</v>
      </c>
      <c r="C262" s="8" t="s">
        <v>70</v>
      </c>
      <c r="D262" s="8">
        <v>4</v>
      </c>
      <c r="E262" s="8">
        <v>1</v>
      </c>
      <c r="F262" s="8">
        <v>1</v>
      </c>
      <c r="G262" s="8">
        <v>1</v>
      </c>
      <c r="H262" s="8" t="s">
        <v>273</v>
      </c>
      <c r="I262" s="8" t="s">
        <v>31</v>
      </c>
      <c r="J262" s="8" t="s">
        <v>493</v>
      </c>
    </row>
    <row r="263" spans="1:10" x14ac:dyDescent="0.2">
      <c r="A263" s="8" t="s">
        <v>738</v>
      </c>
      <c r="B263" s="8" t="s">
        <v>82</v>
      </c>
      <c r="C263" s="8" t="s">
        <v>70</v>
      </c>
      <c r="D263" s="8">
        <v>4</v>
      </c>
      <c r="E263" s="8">
        <v>2</v>
      </c>
      <c r="F263" s="8">
        <v>6</v>
      </c>
      <c r="G263" s="8">
        <v>1</v>
      </c>
      <c r="H263" s="8" t="s">
        <v>273</v>
      </c>
      <c r="I263" s="8" t="s">
        <v>31</v>
      </c>
      <c r="J263" s="8" t="s">
        <v>739</v>
      </c>
    </row>
    <row r="264" spans="1:10" x14ac:dyDescent="0.2">
      <c r="A264" s="8" t="s">
        <v>740</v>
      </c>
      <c r="B264" s="8" t="s">
        <v>82</v>
      </c>
      <c r="C264" s="8" t="s">
        <v>70</v>
      </c>
      <c r="D264" s="8">
        <v>4</v>
      </c>
      <c r="E264" s="8">
        <v>2</v>
      </c>
      <c r="F264" s="8">
        <v>6</v>
      </c>
      <c r="G264" s="8">
        <v>1</v>
      </c>
      <c r="H264" s="8" t="s">
        <v>273</v>
      </c>
      <c r="I264" s="8" t="s">
        <v>31</v>
      </c>
      <c r="J264" s="8" t="s">
        <v>741</v>
      </c>
    </row>
    <row r="265" spans="1:10" x14ac:dyDescent="0.2">
      <c r="A265" s="8" t="s">
        <v>742</v>
      </c>
      <c r="B265" s="8" t="s">
        <v>82</v>
      </c>
      <c r="C265" s="8" t="s">
        <v>70</v>
      </c>
      <c r="D265" s="8">
        <v>4</v>
      </c>
      <c r="E265" s="8">
        <v>2</v>
      </c>
      <c r="F265" s="8">
        <v>6</v>
      </c>
      <c r="G265" s="8">
        <v>1</v>
      </c>
      <c r="H265" s="8" t="s">
        <v>273</v>
      </c>
      <c r="I265" s="8" t="s">
        <v>31</v>
      </c>
      <c r="J265" s="8" t="s">
        <v>743</v>
      </c>
    </row>
    <row r="266" spans="1:10" x14ac:dyDescent="0.2">
      <c r="A266" s="8" t="s">
        <v>744</v>
      </c>
      <c r="B266" s="8" t="s">
        <v>82</v>
      </c>
      <c r="C266" s="8" t="s">
        <v>70</v>
      </c>
      <c r="D266" s="8">
        <v>4</v>
      </c>
      <c r="E266" s="8">
        <v>3</v>
      </c>
      <c r="F266" s="8">
        <v>12</v>
      </c>
      <c r="G266" s="8">
        <v>1</v>
      </c>
      <c r="H266" s="8" t="s">
        <v>273</v>
      </c>
      <c r="I266" s="8" t="s">
        <v>31</v>
      </c>
      <c r="J266" s="8" t="s">
        <v>745</v>
      </c>
    </row>
    <row r="267" spans="1:10" x14ac:dyDescent="0.2">
      <c r="A267" s="8" t="s">
        <v>746</v>
      </c>
      <c r="B267" s="8" t="s">
        <v>82</v>
      </c>
      <c r="C267" s="8" t="s">
        <v>70</v>
      </c>
      <c r="D267" s="8">
        <v>4</v>
      </c>
      <c r="E267" s="8">
        <v>3</v>
      </c>
      <c r="F267" s="8">
        <v>12</v>
      </c>
      <c r="G267" s="8">
        <v>1</v>
      </c>
      <c r="H267" s="8" t="s">
        <v>273</v>
      </c>
      <c r="I267" s="8" t="s">
        <v>31</v>
      </c>
      <c r="J267" s="8" t="s">
        <v>747</v>
      </c>
    </row>
    <row r="268" spans="1:10" x14ac:dyDescent="0.2">
      <c r="A268" s="8" t="s">
        <v>748</v>
      </c>
      <c r="B268" s="8" t="s">
        <v>82</v>
      </c>
      <c r="C268" s="8" t="s">
        <v>70</v>
      </c>
      <c r="D268" s="8">
        <v>4</v>
      </c>
      <c r="E268" s="8">
        <v>3</v>
      </c>
      <c r="F268" s="8">
        <v>12</v>
      </c>
      <c r="G268" s="8">
        <v>1</v>
      </c>
      <c r="H268" s="8" t="s">
        <v>273</v>
      </c>
      <c r="I268" s="8" t="s">
        <v>31</v>
      </c>
      <c r="J268" s="8" t="s">
        <v>749</v>
      </c>
    </row>
    <row r="269" spans="1:10" x14ac:dyDescent="0.2">
      <c r="A269" s="8" t="s">
        <v>750</v>
      </c>
      <c r="B269" s="8" t="s">
        <v>82</v>
      </c>
      <c r="C269" s="8" t="s">
        <v>70</v>
      </c>
      <c r="D269" s="8">
        <v>4</v>
      </c>
      <c r="E269" s="8">
        <v>4</v>
      </c>
      <c r="F269" s="8">
        <v>18</v>
      </c>
      <c r="G269" s="8">
        <v>1</v>
      </c>
      <c r="H269" s="8" t="s">
        <v>273</v>
      </c>
      <c r="I269" s="8" t="s">
        <v>31</v>
      </c>
      <c r="J269" s="8" t="s">
        <v>751</v>
      </c>
    </row>
    <row r="270" spans="1:10" x14ac:dyDescent="0.2">
      <c r="A270" s="8" t="s">
        <v>752</v>
      </c>
      <c r="B270" s="8" t="s">
        <v>82</v>
      </c>
      <c r="C270" s="8" t="s">
        <v>70</v>
      </c>
      <c r="D270" s="8">
        <v>4</v>
      </c>
      <c r="E270" s="8">
        <v>4</v>
      </c>
      <c r="F270" s="8">
        <v>18</v>
      </c>
      <c r="G270" s="8">
        <v>1</v>
      </c>
      <c r="H270" s="8" t="s">
        <v>273</v>
      </c>
      <c r="I270" s="8" t="s">
        <v>31</v>
      </c>
      <c r="J270" s="8" t="s">
        <v>753</v>
      </c>
    </row>
    <row r="271" spans="1:10" x14ac:dyDescent="0.2">
      <c r="A271" s="8" t="s">
        <v>754</v>
      </c>
      <c r="B271" s="8" t="s">
        <v>82</v>
      </c>
      <c r="C271" s="8" t="s">
        <v>70</v>
      </c>
      <c r="D271" s="8">
        <v>4</v>
      </c>
      <c r="E271" s="8">
        <v>4</v>
      </c>
      <c r="F271" s="8">
        <v>18</v>
      </c>
      <c r="G271" s="8">
        <v>1</v>
      </c>
      <c r="H271" s="8" t="s">
        <v>273</v>
      </c>
      <c r="I271" s="8" t="s">
        <v>31</v>
      </c>
      <c r="J271" s="8" t="s">
        <v>755</v>
      </c>
    </row>
    <row r="272" spans="1:10" x14ac:dyDescent="0.2">
      <c r="A272" s="8" t="s">
        <v>756</v>
      </c>
      <c r="B272" s="8" t="s">
        <v>82</v>
      </c>
      <c r="C272" s="8" t="s">
        <v>70</v>
      </c>
      <c r="D272" s="8">
        <v>4</v>
      </c>
      <c r="E272" s="8">
        <v>5</v>
      </c>
      <c r="F272" s="8">
        <v>24</v>
      </c>
      <c r="G272" s="8">
        <v>1</v>
      </c>
      <c r="H272" s="8" t="s">
        <v>273</v>
      </c>
      <c r="I272" s="8" t="s">
        <v>31</v>
      </c>
      <c r="J272" s="8" t="s">
        <v>757</v>
      </c>
    </row>
    <row r="273" spans="1:10" x14ac:dyDescent="0.2">
      <c r="A273" s="8" t="s">
        <v>758</v>
      </c>
      <c r="B273" s="8" t="s">
        <v>82</v>
      </c>
      <c r="C273" s="8" t="s">
        <v>70</v>
      </c>
      <c r="D273" s="8">
        <v>4</v>
      </c>
      <c r="E273" s="8">
        <v>5</v>
      </c>
      <c r="F273" s="8">
        <v>24</v>
      </c>
      <c r="G273" s="8">
        <v>1</v>
      </c>
      <c r="H273" s="8" t="s">
        <v>273</v>
      </c>
      <c r="I273" s="8" t="s">
        <v>31</v>
      </c>
      <c r="J273" s="8" t="s">
        <v>759</v>
      </c>
    </row>
    <row r="274" spans="1:10" x14ac:dyDescent="0.2">
      <c r="A274" s="8" t="s">
        <v>760</v>
      </c>
      <c r="B274" s="8" t="s">
        <v>82</v>
      </c>
      <c r="C274" s="8" t="s">
        <v>70</v>
      </c>
      <c r="D274" s="8">
        <v>4</v>
      </c>
      <c r="E274" s="8">
        <v>5</v>
      </c>
      <c r="F274" s="8">
        <v>24</v>
      </c>
      <c r="G274" s="8">
        <v>1</v>
      </c>
      <c r="H274" s="8" t="s">
        <v>273</v>
      </c>
      <c r="I274" s="8" t="s">
        <v>31</v>
      </c>
      <c r="J274" s="8" t="s">
        <v>761</v>
      </c>
    </row>
    <row r="275" spans="1:10" x14ac:dyDescent="0.2">
      <c r="A275" s="8" t="s">
        <v>762</v>
      </c>
      <c r="B275" s="8" t="s">
        <v>82</v>
      </c>
      <c r="C275" s="8" t="s">
        <v>70</v>
      </c>
      <c r="D275" s="8">
        <v>4</v>
      </c>
      <c r="E275" s="8">
        <v>6</v>
      </c>
      <c r="F275" s="8">
        <v>30</v>
      </c>
      <c r="G275" s="8">
        <v>1</v>
      </c>
      <c r="H275" s="8" t="s">
        <v>273</v>
      </c>
      <c r="I275" s="8" t="s">
        <v>31</v>
      </c>
      <c r="J275" s="8" t="s">
        <v>763</v>
      </c>
    </row>
    <row r="276" spans="1:10" x14ac:dyDescent="0.2">
      <c r="A276" s="8" t="s">
        <v>764</v>
      </c>
      <c r="B276" s="8" t="s">
        <v>82</v>
      </c>
      <c r="C276" s="8" t="s">
        <v>70</v>
      </c>
      <c r="D276" s="8">
        <v>4</v>
      </c>
      <c r="E276" s="8">
        <v>6</v>
      </c>
      <c r="F276" s="8">
        <v>30</v>
      </c>
      <c r="G276" s="8">
        <v>1</v>
      </c>
      <c r="H276" s="8" t="s">
        <v>273</v>
      </c>
      <c r="I276" s="8" t="s">
        <v>31</v>
      </c>
      <c r="J276" s="8" t="s">
        <v>765</v>
      </c>
    </row>
    <row r="277" spans="1:10" x14ac:dyDescent="0.2">
      <c r="A277" s="8" t="s">
        <v>766</v>
      </c>
      <c r="B277" s="8" t="s">
        <v>82</v>
      </c>
      <c r="C277" s="8" t="s">
        <v>70</v>
      </c>
      <c r="D277" s="8">
        <v>4</v>
      </c>
      <c r="E277" s="8">
        <v>6</v>
      </c>
      <c r="F277" s="8">
        <v>30</v>
      </c>
      <c r="G277" s="8">
        <v>1</v>
      </c>
      <c r="H277" s="8" t="s">
        <v>273</v>
      </c>
      <c r="I277" s="8" t="s">
        <v>31</v>
      </c>
      <c r="J277" s="8" t="s">
        <v>767</v>
      </c>
    </row>
  </sheetData>
  <autoFilter ref="A4:J277" xr:uid="{321C2724-F406-482B-AE88-D83C4CAB016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2430C-7251-4B21-AAB3-5597900784CE}">
  <dimension ref="A1:B15"/>
  <sheetViews>
    <sheetView workbookViewId="0"/>
  </sheetViews>
  <sheetFormatPr defaultRowHeight="12.75" x14ac:dyDescent="0.2"/>
  <cols>
    <col min="1" max="1" width="32.7109375" style="2" customWidth="1"/>
    <col min="2" max="2" width="115.7109375" style="2" customWidth="1"/>
    <col min="3" max="16384" width="9.140625" style="2"/>
  </cols>
  <sheetData>
    <row r="1" spans="1:2" ht="16.5" x14ac:dyDescent="0.25">
      <c r="A1" s="1" t="s">
        <v>768</v>
      </c>
    </row>
    <row r="3" spans="1:2" ht="51.95" customHeight="1" x14ac:dyDescent="0.2">
      <c r="A3" s="6" t="s">
        <v>769</v>
      </c>
      <c r="B3" s="7" t="s">
        <v>770</v>
      </c>
    </row>
    <row r="4" spans="1:2" ht="51.95" customHeight="1" x14ac:dyDescent="0.2">
      <c r="A4" s="6" t="s">
        <v>771</v>
      </c>
      <c r="B4" s="7" t="s">
        <v>772</v>
      </c>
    </row>
    <row r="5" spans="1:2" ht="51.95" customHeight="1" x14ac:dyDescent="0.2">
      <c r="A5" s="6" t="s">
        <v>773</v>
      </c>
      <c r="B5" s="7" t="s">
        <v>774</v>
      </c>
    </row>
    <row r="6" spans="1:2" ht="51.95" customHeight="1" x14ac:dyDescent="0.2">
      <c r="A6" s="6" t="s">
        <v>775</v>
      </c>
      <c r="B6" s="7" t="s">
        <v>776</v>
      </c>
    </row>
    <row r="7" spans="1:2" ht="51.95" customHeight="1" x14ac:dyDescent="0.2">
      <c r="A7" s="6" t="s">
        <v>777</v>
      </c>
      <c r="B7" s="7" t="s">
        <v>778</v>
      </c>
    </row>
    <row r="8" spans="1:2" ht="51.95" customHeight="1" x14ac:dyDescent="0.2">
      <c r="A8" s="6" t="s">
        <v>779</v>
      </c>
      <c r="B8" s="7" t="s">
        <v>780</v>
      </c>
    </row>
    <row r="9" spans="1:2" ht="51.95" customHeight="1" x14ac:dyDescent="0.2">
      <c r="A9" s="6" t="s">
        <v>781</v>
      </c>
      <c r="B9" s="7" t="s">
        <v>782</v>
      </c>
    </row>
    <row r="10" spans="1:2" ht="51.95" customHeight="1" x14ac:dyDescent="0.2">
      <c r="A10" s="6" t="s">
        <v>783</v>
      </c>
      <c r="B10" s="7" t="s">
        <v>784</v>
      </c>
    </row>
    <row r="11" spans="1:2" ht="51.95" customHeight="1" x14ac:dyDescent="0.2">
      <c r="A11" s="6" t="s">
        <v>785</v>
      </c>
      <c r="B11" s="7" t="s">
        <v>786</v>
      </c>
    </row>
    <row r="12" spans="1:2" ht="51.95" customHeight="1" x14ac:dyDescent="0.2">
      <c r="A12" s="6" t="s">
        <v>787</v>
      </c>
      <c r="B12" s="7" t="s">
        <v>788</v>
      </c>
    </row>
    <row r="13" spans="1:2" ht="51.95" customHeight="1" x14ac:dyDescent="0.2">
      <c r="A13" s="6" t="s">
        <v>789</v>
      </c>
      <c r="B13" s="7" t="s">
        <v>790</v>
      </c>
    </row>
    <row r="14" spans="1:2" ht="51.95" customHeight="1" x14ac:dyDescent="0.2">
      <c r="A14" s="6" t="s">
        <v>791</v>
      </c>
      <c r="B14" s="7" t="s">
        <v>792</v>
      </c>
    </row>
    <row r="15" spans="1:2" ht="51.95" customHeight="1" x14ac:dyDescent="0.2">
      <c r="A15" s="6" t="s">
        <v>793</v>
      </c>
      <c r="B15" s="7" t="s">
        <v>794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Skills and Auras</vt:lpstr>
      <vt:lpstr>Spells</vt:lpstr>
      <vt:lpstr>Full inventory</vt:lpstr>
      <vt:lpstr>How to read this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Hristo Rogachev</dc:creator>
  <cp:lastModifiedBy>Hristo Rogachev</cp:lastModifiedBy>
  <dcterms:created xsi:type="dcterms:W3CDTF">2026-08-30T04:02:57Z</dcterms:created>
  <dcterms:modified xsi:type="dcterms:W3CDTF">2026-08-30T04:03:01Z</dcterms:modified>
</cp:coreProperties>
</file>